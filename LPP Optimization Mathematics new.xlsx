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0" yWindow="0" windowWidth="20490" windowHeight="7755" firstSheet="6" activeTab="7"/>
  </bookViews>
  <sheets>
    <sheet name="Section A(Problem Statement)" sheetId="1" r:id="rId1"/>
    <sheet name="Solver Output " sheetId="11" r:id="rId2"/>
    <sheet name="Answer Report Solver Output" sheetId="3" r:id="rId3"/>
    <sheet name="Sensitivity Report Solver Outpu" sheetId="4" r:id="rId4"/>
    <sheet name="Solver Output(Coefficient Chang" sheetId="2" r:id="rId5"/>
    <sheet name="Solver (Constraint changed)" sheetId="12" r:id="rId6"/>
    <sheet name="Solver Explain" sheetId="13" r:id="rId7"/>
    <sheet name="Transportation Optimization" sheetId="8" r:id="rId8"/>
    <sheet name="Answer Report (T)" sheetId="9" r:id="rId9"/>
    <sheet name="Sensitivity Report(T)" sheetId="10" r:id="rId10"/>
  </sheets>
  <definedNames>
    <definedName name="solver_adj" localSheetId="5" hidden="1">'Solver (Constraint changed)'!$C$11:$C$12</definedName>
    <definedName name="solver_adj" localSheetId="1" hidden="1">'Solver Output '!$C$11:$C$12</definedName>
    <definedName name="solver_adj" localSheetId="4" hidden="1">'Solver Output(Coefficient Chang'!$C$11:$C$12</definedName>
    <definedName name="solver_adj" localSheetId="7" hidden="1">'Transportation Optimization'!$D$20:$G$23</definedName>
    <definedName name="solver_cvg" localSheetId="5" hidden="1">0.0001</definedName>
    <definedName name="solver_cvg" localSheetId="1" hidden="1">0.0001</definedName>
    <definedName name="solver_cvg" localSheetId="4" hidden="1">0.0001</definedName>
    <definedName name="solver_cvg" localSheetId="7" hidden="1">0.0001</definedName>
    <definedName name="solver_drv" localSheetId="5" hidden="1">1</definedName>
    <definedName name="solver_drv" localSheetId="1" hidden="1">1</definedName>
    <definedName name="solver_drv" localSheetId="4" hidden="1">1</definedName>
    <definedName name="solver_drv" localSheetId="7" hidden="1">2</definedName>
    <definedName name="solver_eng" localSheetId="5" hidden="1">2</definedName>
    <definedName name="solver_eng" localSheetId="1" hidden="1">2</definedName>
    <definedName name="solver_eng" localSheetId="4" hidden="1">2</definedName>
    <definedName name="solver_eng" localSheetId="7" hidden="1">2</definedName>
    <definedName name="solver_est" localSheetId="5" hidden="1">1</definedName>
    <definedName name="solver_est" localSheetId="1" hidden="1">1</definedName>
    <definedName name="solver_est" localSheetId="4" hidden="1">1</definedName>
    <definedName name="solver_est" localSheetId="7" hidden="1">1</definedName>
    <definedName name="solver_itr" localSheetId="5" hidden="1">2147483647</definedName>
    <definedName name="solver_itr" localSheetId="1" hidden="1">2147483647</definedName>
    <definedName name="solver_itr" localSheetId="4" hidden="1">2147483647</definedName>
    <definedName name="solver_itr" localSheetId="7" hidden="1">2147483647</definedName>
    <definedName name="solver_lhs1" localSheetId="5" hidden="1">'Solver (Constraint changed)'!$C$20:$C$22</definedName>
    <definedName name="solver_lhs1" localSheetId="1" hidden="1">'Solver Output '!$C$20:$C$22</definedName>
    <definedName name="solver_lhs1" localSheetId="4" hidden="1">'Solver Output(Coefficient Chang'!$C$20:$C$22</definedName>
    <definedName name="solver_lhs1" localSheetId="7" hidden="1">'Transportation Optimization'!$D$20:$G$23</definedName>
    <definedName name="solver_lhs2" localSheetId="7" hidden="1">'Transportation Optimization'!$D$24:$G$24</definedName>
    <definedName name="solver_lhs3" localSheetId="7" hidden="1">'Transportation Optimization'!$H$20:$H$23</definedName>
    <definedName name="solver_mip" localSheetId="5" hidden="1">2147483647</definedName>
    <definedName name="solver_mip" localSheetId="1" hidden="1">2147483647</definedName>
    <definedName name="solver_mip" localSheetId="4" hidden="1">2147483647</definedName>
    <definedName name="solver_mip" localSheetId="7" hidden="1">2147483647</definedName>
    <definedName name="solver_mni" localSheetId="5" hidden="1">30</definedName>
    <definedName name="solver_mni" localSheetId="1" hidden="1">30</definedName>
    <definedName name="solver_mni" localSheetId="4" hidden="1">30</definedName>
    <definedName name="solver_mni" localSheetId="7" hidden="1">30</definedName>
    <definedName name="solver_mrt" localSheetId="5" hidden="1">0.075</definedName>
    <definedName name="solver_mrt" localSheetId="1" hidden="1">0.075</definedName>
    <definedName name="solver_mrt" localSheetId="4" hidden="1">0.075</definedName>
    <definedName name="solver_mrt" localSheetId="7" hidden="1">0.075</definedName>
    <definedName name="solver_msl" localSheetId="5" hidden="1">2</definedName>
    <definedName name="solver_msl" localSheetId="1" hidden="1">2</definedName>
    <definedName name="solver_msl" localSheetId="4" hidden="1">2</definedName>
    <definedName name="solver_msl" localSheetId="7" hidden="1">2</definedName>
    <definedName name="solver_neg" localSheetId="5" hidden="1">1</definedName>
    <definedName name="solver_neg" localSheetId="1" hidden="1">1</definedName>
    <definedName name="solver_neg" localSheetId="4" hidden="1">1</definedName>
    <definedName name="solver_neg" localSheetId="7" hidden="1">1</definedName>
    <definedName name="solver_nod" localSheetId="5" hidden="1">2147483647</definedName>
    <definedName name="solver_nod" localSheetId="1" hidden="1">2147483647</definedName>
    <definedName name="solver_nod" localSheetId="4" hidden="1">2147483647</definedName>
    <definedName name="solver_nod" localSheetId="7" hidden="1">2147483647</definedName>
    <definedName name="solver_num" localSheetId="5" hidden="1">1</definedName>
    <definedName name="solver_num" localSheetId="1" hidden="1">1</definedName>
    <definedName name="solver_num" localSheetId="4" hidden="1">1</definedName>
    <definedName name="solver_num" localSheetId="7" hidden="1">3</definedName>
    <definedName name="solver_nwt" localSheetId="5" hidden="1">1</definedName>
    <definedName name="solver_nwt" localSheetId="1" hidden="1">1</definedName>
    <definedName name="solver_nwt" localSheetId="4" hidden="1">1</definedName>
    <definedName name="solver_nwt" localSheetId="7" hidden="1">1</definedName>
    <definedName name="solver_opt" localSheetId="5" hidden="1">'Solver (Constraint changed)'!$C$16</definedName>
    <definedName name="solver_opt" localSheetId="1" hidden="1">'Solver Output '!$C$16</definedName>
    <definedName name="solver_opt" localSheetId="4" hidden="1">'Solver Output(Coefficient Chang'!$C$16</definedName>
    <definedName name="solver_opt" localSheetId="7" hidden="1">'Transportation Optimization'!$L$13</definedName>
    <definedName name="solver_pre" localSheetId="5" hidden="1">0.000001</definedName>
    <definedName name="solver_pre" localSheetId="1" hidden="1">0.000001</definedName>
    <definedName name="solver_pre" localSheetId="4" hidden="1">0.000001</definedName>
    <definedName name="solver_pre" localSheetId="7" hidden="1">0.000001</definedName>
    <definedName name="solver_rbv" localSheetId="5" hidden="1">1</definedName>
    <definedName name="solver_rbv" localSheetId="1" hidden="1">1</definedName>
    <definedName name="solver_rbv" localSheetId="4" hidden="1">1</definedName>
    <definedName name="solver_rbv" localSheetId="7" hidden="1">2</definedName>
    <definedName name="solver_rel1" localSheetId="5" hidden="1">1</definedName>
    <definedName name="solver_rel1" localSheetId="1" hidden="1">1</definedName>
    <definedName name="solver_rel1" localSheetId="4" hidden="1">1</definedName>
    <definedName name="solver_rel1" localSheetId="7" hidden="1">3</definedName>
    <definedName name="solver_rel2" localSheetId="7" hidden="1">2</definedName>
    <definedName name="solver_rel3" localSheetId="7" hidden="1">2</definedName>
    <definedName name="solver_rhs1" localSheetId="5" hidden="1">'Solver (Constraint changed)'!$E$20:$E$22</definedName>
    <definedName name="solver_rhs1" localSheetId="1" hidden="1">'Solver Output '!$E$20:$E$22</definedName>
    <definedName name="solver_rhs1" localSheetId="4" hidden="1">'Solver Output(Coefficient Chang'!$E$20:$E$22</definedName>
    <definedName name="solver_rhs1" localSheetId="7" hidden="1">0</definedName>
    <definedName name="solver_rhs2" localSheetId="7" hidden="1">'Transportation Optimization'!$D$14:$G$14</definedName>
    <definedName name="solver_rhs3" localSheetId="7" hidden="1">'Transportation Optimization'!$H$10:$H$13</definedName>
    <definedName name="solver_rlx" localSheetId="5" hidden="1">2</definedName>
    <definedName name="solver_rlx" localSheetId="1" hidden="1">2</definedName>
    <definedName name="solver_rlx" localSheetId="4" hidden="1">2</definedName>
    <definedName name="solver_rlx" localSheetId="7" hidden="1">2</definedName>
    <definedName name="solver_rsd" localSheetId="5" hidden="1">0</definedName>
    <definedName name="solver_rsd" localSheetId="1" hidden="1">0</definedName>
    <definedName name="solver_rsd" localSheetId="4" hidden="1">0</definedName>
    <definedName name="solver_rsd" localSheetId="7" hidden="1">0</definedName>
    <definedName name="solver_scl" localSheetId="5" hidden="1">1</definedName>
    <definedName name="solver_scl" localSheetId="1" hidden="1">1</definedName>
    <definedName name="solver_scl" localSheetId="4" hidden="1">1</definedName>
    <definedName name="solver_scl" localSheetId="7" hidden="1">2</definedName>
    <definedName name="solver_sho" localSheetId="5" hidden="1">2</definedName>
    <definedName name="solver_sho" localSheetId="1" hidden="1">2</definedName>
    <definedName name="solver_sho" localSheetId="4" hidden="1">2</definedName>
    <definedName name="solver_sho" localSheetId="7" hidden="1">2</definedName>
    <definedName name="solver_ssz" localSheetId="5" hidden="1">100</definedName>
    <definedName name="solver_ssz" localSheetId="1" hidden="1">100</definedName>
    <definedName name="solver_ssz" localSheetId="4" hidden="1">100</definedName>
    <definedName name="solver_ssz" localSheetId="7" hidden="1">100</definedName>
    <definedName name="solver_tim" localSheetId="5" hidden="1">2147483647</definedName>
    <definedName name="solver_tim" localSheetId="1" hidden="1">2147483647</definedName>
    <definedName name="solver_tim" localSheetId="4" hidden="1">2147483647</definedName>
    <definedName name="solver_tim" localSheetId="7" hidden="1">2147483647</definedName>
    <definedName name="solver_tol" localSheetId="5" hidden="1">0.01</definedName>
    <definedName name="solver_tol" localSheetId="1" hidden="1">0.01</definedName>
    <definedName name="solver_tol" localSheetId="4" hidden="1">0.01</definedName>
    <definedName name="solver_tol" localSheetId="7" hidden="1">0.01</definedName>
    <definedName name="solver_typ" localSheetId="5" hidden="1">1</definedName>
    <definedName name="solver_typ" localSheetId="1" hidden="1">1</definedName>
    <definedName name="solver_typ" localSheetId="4" hidden="1">1</definedName>
    <definedName name="solver_typ" localSheetId="7" hidden="1">2</definedName>
    <definedName name="solver_val" localSheetId="5" hidden="1">0</definedName>
    <definedName name="solver_val" localSheetId="1" hidden="1">0</definedName>
    <definedName name="solver_val" localSheetId="4" hidden="1">0</definedName>
    <definedName name="solver_val" localSheetId="7" hidden="1">0</definedName>
    <definedName name="solver_ver" localSheetId="5" hidden="1">3</definedName>
    <definedName name="solver_ver" localSheetId="1" hidden="1">3</definedName>
    <definedName name="solver_ver" localSheetId="4" hidden="1">3</definedName>
    <definedName name="solver_ver" localSheetId="7" hidden="1">3</definedName>
  </definedNames>
  <calcPr calcId="152511"/>
</workbook>
</file>

<file path=xl/calcChain.xml><?xml version="1.0" encoding="utf-8"?>
<calcChain xmlns="http://schemas.openxmlformats.org/spreadsheetml/2006/main">
  <c r="C22" i="12" l="1"/>
  <c r="G22" i="12" s="1"/>
  <c r="C21" i="12"/>
  <c r="G21" i="12" s="1"/>
  <c r="C20" i="12"/>
  <c r="G20" i="12" s="1"/>
  <c r="C16" i="12"/>
  <c r="C22" i="11"/>
  <c r="G22" i="11" s="1"/>
  <c r="C21" i="11"/>
  <c r="G21" i="11" s="1"/>
  <c r="C20" i="11"/>
  <c r="G20" i="11" s="1"/>
  <c r="C16" i="11"/>
  <c r="L13" i="8" l="1"/>
  <c r="E24" i="8"/>
  <c r="F24" i="8"/>
  <c r="G24" i="8"/>
  <c r="D24" i="8"/>
  <c r="H22" i="8"/>
  <c r="H23" i="8"/>
  <c r="H21" i="8"/>
  <c r="H20" i="8"/>
  <c r="C22" i="2" l="1"/>
  <c r="G22" i="2" s="1"/>
  <c r="C21" i="2"/>
  <c r="G21" i="2" s="1"/>
  <c r="C20" i="2"/>
  <c r="G20" i="2" s="1"/>
  <c r="C16" i="2"/>
</calcChain>
</file>

<file path=xl/sharedStrings.xml><?xml version="1.0" encoding="utf-8"?>
<sst xmlns="http://schemas.openxmlformats.org/spreadsheetml/2006/main" count="542" uniqueCount="232">
  <si>
    <t>Problem Statement</t>
  </si>
  <si>
    <t>The owner earns ₹ 20 profit per bottle of OJ and ₹ 30 per bottle of MF.</t>
  </si>
  <si>
    <t>Each OJ bottle uses ₹ 25 worth of fruit and 2 minutes of preparation; each MF bottle uses ₹ 40 of fruit and 4 minutes.</t>
  </si>
  <si>
    <t>The stand has a daily limit of ₹ 12 000 for fruit, 1 000 minutes of prep time, and 400 bottle caps.</t>
  </si>
  <si>
    <t>The goal is to determine how many bottles of each juice should be made daily to maximize total profit while staying within all limits.</t>
  </si>
  <si>
    <t>Element</t>
  </si>
  <si>
    <t>Description / Formula</t>
  </si>
  <si>
    <t>Values / Units</t>
  </si>
  <si>
    <t>Remarks / Justification</t>
  </si>
  <si>
    <t>Objective Type</t>
  </si>
  <si>
    <t>Maximize total profit</t>
  </si>
  <si>
    <t>Want to earn maximum from daily production</t>
  </si>
  <si>
    <t>Decision Variables</t>
  </si>
  <si>
    <t>x₁ = OJ bottles</t>
  </si>
  <si>
    <t>x₂ = MF bottles</t>
  </si>
  <si>
    <t>Integer / non-negative</t>
  </si>
  <si>
    <t>Quantities to decide</t>
  </si>
  <si>
    <t>Objective Function</t>
  </si>
  <si>
    <t>Z = 20 x₁ + 30 x₂</t>
  </si>
  <si>
    <t>₹ profit</t>
  </si>
  <si>
    <t>₹20 profit/OJ, ₹30 profit/MF</t>
  </si>
  <si>
    <t>Constraint 1 – Fruit Budget</t>
  </si>
  <si>
    <t>25 x₁ + 40 x₂ ≤ 12 000</t>
  </si>
  <si>
    <t>₹</t>
  </si>
  <si>
    <t>Limited purchase budget</t>
  </si>
  <si>
    <t>Constraint 2 – Prep Time</t>
  </si>
  <si>
    <t>minutes</t>
  </si>
  <si>
    <t>Limited labour time</t>
  </si>
  <si>
    <t>Constraint 3 – Bottle Caps</t>
  </si>
  <si>
    <t>x₁ + x₂ ≤ 400</t>
  </si>
  <si>
    <t>bottles</t>
  </si>
  <si>
    <t>Limited caps</t>
  </si>
  <si>
    <t>Constraint 4 – Non-negativity</t>
  </si>
  <si>
    <t>x₁ ≥ 0, x₂ ≥ 0</t>
  </si>
  <si>
    <t>Production can’t be negative</t>
  </si>
  <si>
    <t>Expected Output</t>
  </si>
  <si>
    <t>Optimal x₁, x₂ to maximize Z</t>
  </si>
  <si>
    <t>2 x₁ + 4 x₂ ≤ 1000</t>
  </si>
  <si>
    <t>Obtained through Solver</t>
  </si>
  <si>
    <t>Why LPP is Used here</t>
  </si>
  <si>
    <t>In this situation many resource constraints operate together. If the owner relies on trial and error or experience based guessing it will be really  difficult to balance cost, time, and capacity together. Linear Programming provides a systematic and mathematical approach to find the best possible production mix that maximizes profit while fully considering all constraints. It shows how small changes in resources or prices affect the optimal solution  which something traditional manual methods or simple intuition cannot reliably do.</t>
  </si>
  <si>
    <t>A small juice stand produces types of two drinks daily — Orange Juice (OJ) and Mixed Fruit Juice (MF).</t>
  </si>
  <si>
    <t>Item</t>
  </si>
  <si>
    <t>Orange Juice (x1)</t>
  </si>
  <si>
    <t>Mixed Fruit (x2)</t>
  </si>
  <si>
    <t>Units</t>
  </si>
  <si>
    <t>Profit per bottle</t>
  </si>
  <si>
    <t>₹/bottle</t>
  </si>
  <si>
    <t>Fruit cost per bottle</t>
  </si>
  <si>
    <t>Prep time per bottle</t>
  </si>
  <si>
    <t>Variable</t>
  </si>
  <si>
    <t>Value</t>
  </si>
  <si>
    <t>x1 (OJ bottles)</t>
  </si>
  <si>
    <t>x2 (MF bottles)</t>
  </si>
  <si>
    <t>Objective</t>
  </si>
  <si>
    <t>Expression</t>
  </si>
  <si>
    <t>Maximize</t>
  </si>
  <si>
    <t>Total Profit</t>
  </si>
  <si>
    <t>Goal</t>
  </si>
  <si>
    <t>Constraint</t>
  </si>
  <si>
    <t>LHS (formula)</t>
  </si>
  <si>
    <t>≤</t>
  </si>
  <si>
    <t>RHS</t>
  </si>
  <si>
    <t>Slack</t>
  </si>
  <si>
    <t>Fruit budget</t>
  </si>
  <si>
    <t>Prep time</t>
  </si>
  <si>
    <t>Bottle caps</t>
  </si>
  <si>
    <t>Constraints (LHS ≤ RHS)</t>
  </si>
  <si>
    <t xml:space="preserve">Coefficients </t>
  </si>
  <si>
    <t xml:space="preserve">Decision Variables </t>
  </si>
  <si>
    <t>Microsoft Excel 16.0 Answer Report</t>
  </si>
  <si>
    <t>Worksheet: [LPP Optimization Kanish.xlsx]Sheet1</t>
  </si>
  <si>
    <t>Result: Solver found a solution.  All Constraints and optimality conditions are satisfied.</t>
  </si>
  <si>
    <t>Solver Engine</t>
  </si>
  <si>
    <t>Engine: Simplex LP</t>
  </si>
  <si>
    <t>Solution Time: 0.063 Seconds.</t>
  </si>
  <si>
    <t>Iterations: 2 Subproblems: 0</t>
  </si>
  <si>
    <t>Solver Options</t>
  </si>
  <si>
    <t>Max Time Unlimited,  Iterations Unlimited, Precision 0.000001, Use Automatic Scaling</t>
  </si>
  <si>
    <t>Max Subproblems Unlimited, Max Integer Sols Unlimited, Integer Tolerance 1%, Assume NonNegative</t>
  </si>
  <si>
    <t>Objective Cell (Max)</t>
  </si>
  <si>
    <t>Cell</t>
  </si>
  <si>
    <t>Name</t>
  </si>
  <si>
    <t>Original Value</t>
  </si>
  <si>
    <t>Final Value</t>
  </si>
  <si>
    <t>Variable Cells</t>
  </si>
  <si>
    <t>Integer</t>
  </si>
  <si>
    <t>Constraints</t>
  </si>
  <si>
    <t>Cell Value</t>
  </si>
  <si>
    <t>Formula</t>
  </si>
  <si>
    <t>Status</t>
  </si>
  <si>
    <t>$C$16</t>
  </si>
  <si>
    <t>Total Profit Value</t>
  </si>
  <si>
    <t>$C$11</t>
  </si>
  <si>
    <t>x1 (OJ bottles) Value</t>
  </si>
  <si>
    <t>Contin</t>
  </si>
  <si>
    <t>$C$12</t>
  </si>
  <si>
    <t>x2 (MF bottles) Value</t>
  </si>
  <si>
    <t>$C$20</t>
  </si>
  <si>
    <t>Fruit budget LHS (formula)</t>
  </si>
  <si>
    <t>$C$20&lt;=$E$20</t>
  </si>
  <si>
    <t>Not Binding</t>
  </si>
  <si>
    <t>$C$21</t>
  </si>
  <si>
    <t>Prep time LHS (formula)</t>
  </si>
  <si>
    <t>$C$21&lt;=$E$21</t>
  </si>
  <si>
    <t>Binding</t>
  </si>
  <si>
    <t>$C$22</t>
  </si>
  <si>
    <t>Bottle caps LHS (formula)</t>
  </si>
  <si>
    <t>$C$22&lt;=$E$22</t>
  </si>
  <si>
    <t>Microsoft Excel 16.0 Sensitivity Report</t>
  </si>
  <si>
    <t>Report Created: 28-10-2025 14:30:09</t>
  </si>
  <si>
    <t>Final</t>
  </si>
  <si>
    <t>Reduced</t>
  </si>
  <si>
    <t>Cost</t>
  </si>
  <si>
    <t>Coefficient</t>
  </si>
  <si>
    <t>Allowable</t>
  </si>
  <si>
    <t>Increase</t>
  </si>
  <si>
    <t>Decrease</t>
  </si>
  <si>
    <t>Shadow</t>
  </si>
  <si>
    <t>Price</t>
  </si>
  <si>
    <t>R.H. Side</t>
  </si>
  <si>
    <t>Café Delight</t>
  </si>
  <si>
    <t>Bean Heaven</t>
  </si>
  <si>
    <t>Brew Master</t>
  </si>
  <si>
    <t>Morning Sip</t>
  </si>
  <si>
    <t>R1: Chennai Plant</t>
  </si>
  <si>
    <t>R2: Bengaluru Plant</t>
  </si>
  <si>
    <t>R3: Hyderabad Plant</t>
  </si>
  <si>
    <t>R4: Cochin Plant</t>
  </si>
  <si>
    <t>Demand (kg)</t>
  </si>
  <si>
    <t>Total Transport Cost(₹)</t>
  </si>
  <si>
    <t>Supply</t>
  </si>
  <si>
    <t>Worksheet: [LPP Optimization Mathematics new.xlsx]Sheet1</t>
  </si>
  <si>
    <t>Report Created: 31-10-2025 11:55:59</t>
  </si>
  <si>
    <t>Solution Time: 0.156 Seconds.</t>
  </si>
  <si>
    <t>Iterations: 12 Subproblems: 0</t>
  </si>
  <si>
    <t>Max Time Unlimited,  Iterations Unlimited, Precision 0.000001</t>
  </si>
  <si>
    <t>Objective Cell (Min)</t>
  </si>
  <si>
    <t>$L$14</t>
  </si>
  <si>
    <t>$D$18</t>
  </si>
  <si>
    <t>R1: Chennai Plant Café Delight</t>
  </si>
  <si>
    <t>$E$18</t>
  </si>
  <si>
    <t>R1: Chennai Plant Bean Heaven</t>
  </si>
  <si>
    <t>$F$18</t>
  </si>
  <si>
    <t>R1: Chennai Plant Brew Master</t>
  </si>
  <si>
    <t>$G$18</t>
  </si>
  <si>
    <t>R1: Chennai Plant Morning Sip</t>
  </si>
  <si>
    <t>$D$19</t>
  </si>
  <si>
    <t>R2: Bengaluru Plant Café Delight</t>
  </si>
  <si>
    <t>$E$19</t>
  </si>
  <si>
    <t>R2: Bengaluru Plant Bean Heaven</t>
  </si>
  <si>
    <t>$F$19</t>
  </si>
  <si>
    <t>R2: Bengaluru Plant Brew Master</t>
  </si>
  <si>
    <t>$G$19</t>
  </si>
  <si>
    <t>R2: Bengaluru Plant Morning Sip</t>
  </si>
  <si>
    <t>$D$20</t>
  </si>
  <si>
    <t>R3: Hyderabad Plant Café Delight</t>
  </si>
  <si>
    <t>$E$20</t>
  </si>
  <si>
    <t>R3: Hyderabad Plant Bean Heaven</t>
  </si>
  <si>
    <t>$F$20</t>
  </si>
  <si>
    <t>R3: Hyderabad Plant Brew Master</t>
  </si>
  <si>
    <t>$G$20</t>
  </si>
  <si>
    <t>R3: Hyderabad Plant Morning Sip</t>
  </si>
  <si>
    <t>$D$21</t>
  </si>
  <si>
    <t>R4: Cochin Plant Café Delight</t>
  </si>
  <si>
    <t>$E$21</t>
  </si>
  <si>
    <t>R4: Cochin Plant Bean Heaven</t>
  </si>
  <si>
    <t>$F$21</t>
  </si>
  <si>
    <t>R4: Cochin Plant Brew Master</t>
  </si>
  <si>
    <t>$G$21</t>
  </si>
  <si>
    <t>R4: Cochin Plant Morning Sip</t>
  </si>
  <si>
    <t>$D$22</t>
  </si>
  <si>
    <t>Coloumn Total Café Delight</t>
  </si>
  <si>
    <t>$D$22=$D$15</t>
  </si>
  <si>
    <t>$E$22</t>
  </si>
  <si>
    <t>Coloumn Total Bean Heaven</t>
  </si>
  <si>
    <t>$E$22=$E$15</t>
  </si>
  <si>
    <t>$F$22</t>
  </si>
  <si>
    <t>Coloumn Total Brew Master</t>
  </si>
  <si>
    <t>$F$22=$F$15</t>
  </si>
  <si>
    <t>$G$22</t>
  </si>
  <si>
    <t>Coloumn Total Morning Sip</t>
  </si>
  <si>
    <t>$G$22=$G$15</t>
  </si>
  <si>
    <t>$H$18</t>
  </si>
  <si>
    <t>R1: Chennai Plant Row Sum(Total)</t>
  </si>
  <si>
    <t>$H$18=$H$11</t>
  </si>
  <si>
    <t>$H$19</t>
  </si>
  <si>
    <t>R2: Bengaluru Plant Row Sum(Total)</t>
  </si>
  <si>
    <t>$H$19=$H$12</t>
  </si>
  <si>
    <t>$H$20</t>
  </si>
  <si>
    <t>R3: Hyderabad Plant Row Sum(Total)</t>
  </si>
  <si>
    <t>$H$20=$H$13</t>
  </si>
  <si>
    <t>$H$21</t>
  </si>
  <si>
    <t>R4: Cochin Plant Row Sum(Total)</t>
  </si>
  <si>
    <t>$H$21=$H$14</t>
  </si>
  <si>
    <t>$D$18&gt;=0</t>
  </si>
  <si>
    <t>$E$18&gt;=0</t>
  </si>
  <si>
    <t>$F$18&gt;=0</t>
  </si>
  <si>
    <t>$G$18&gt;=0</t>
  </si>
  <si>
    <t>$D$19&gt;=0</t>
  </si>
  <si>
    <t>$E$19&gt;=0</t>
  </si>
  <si>
    <t>$F$19&gt;=0</t>
  </si>
  <si>
    <t>$G$19&gt;=0</t>
  </si>
  <si>
    <t>$D$20&gt;=0</t>
  </si>
  <si>
    <t>$E$20&gt;=0</t>
  </si>
  <si>
    <t>$F$20&gt;=0</t>
  </si>
  <si>
    <t>$G$20&gt;=0</t>
  </si>
  <si>
    <t>$D$21&gt;=0</t>
  </si>
  <si>
    <t>$E$21&gt;=0</t>
  </si>
  <si>
    <t>$F$21&gt;=0</t>
  </si>
  <si>
    <t>$G$21&gt;=0</t>
  </si>
  <si>
    <t>Report Created: 31-10-2025 11:56:02</t>
  </si>
  <si>
    <t>Café Aroma Coffee Distribution</t>
  </si>
  <si>
    <t>Café Aroma is a regional coffee roasting company that ships roasted beans from four roasting centers to four major café chains.                                                                                                                                  Each roaster has a limited daily roasting capacity (supply), and each café chain has daily demand(kg).
The objective is to minimize the total transportation cost while meeting all demand exactly and not exceeding any supply.</t>
  </si>
  <si>
    <t>Supply Used</t>
  </si>
  <si>
    <t>Demand Met</t>
  </si>
  <si>
    <t>Profit Per OJ bottle changed to 22rs</t>
  </si>
  <si>
    <t xml:space="preserve">Fruit Budget Increased to 13000rs </t>
  </si>
  <si>
    <t>Change Made</t>
  </si>
  <si>
    <t>Old Profit (₹)</t>
  </si>
  <si>
    <t>New Profit (₹)</t>
  </si>
  <si>
    <t>Difference (₹)</t>
  </si>
  <si>
    <t>Interpretation</t>
  </si>
  <si>
    <t>Profit of Orange Juice + ₹ 2</t>
  </si>
  <si>
    <t>Profit increased; same mix → within allowable range</t>
  </si>
  <si>
    <t>Fruit Budget + ₹ 1 000</t>
  </si>
  <si>
    <t>Budget constraint is non-binding → extra budget unused</t>
  </si>
  <si>
    <t>Coefficient Changed</t>
  </si>
  <si>
    <t>Constraint Changed</t>
  </si>
  <si>
    <t>Profit Increased BY 600</t>
  </si>
  <si>
    <t>Profit Unchanged because the budget is non binding as per Answer report</t>
  </si>
  <si>
    <t xml:space="preserve">The sensitivity analysis indicates that the fruit budget constraint is non binding since an increase in available budget does not affect the optimal profit. The solution is instead limited by other active constraints such as preparation time or cap availability.                                                                                                              When the profit coefficient of Orange Juice was increased, total profit rose proportionally, confirming that the basis of the model remains optimal within the allowable range. Overall, the current production plan is stable and efficient under small parameter changes.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</si>
</sst>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10" x14ac:knownFonts="1">
    <font>
      <sz val="11"/>
      <color theme="1"/>
      <name val="Calibri"/>
      <family val="2"/>
      <scheme val="minor"/>
    </font>
    <font>
      <b/>
      <sz val="11"/>
      <color theme="1"/>
      <name val="Calibri"/>
      <family val="2"/>
      <scheme val="minor"/>
    </font>
    <font>
      <b/>
      <sz val="20"/>
      <color theme="1"/>
      <name val="Calibri"/>
      <family val="2"/>
      <scheme val="minor"/>
    </font>
    <font>
      <b/>
      <sz val="11"/>
      <color theme="1"/>
      <name val="Times New Roman"/>
      <family val="1"/>
    </font>
    <font>
      <sz val="12"/>
      <color theme="1"/>
      <name val="Times New Roman"/>
      <family val="1"/>
    </font>
    <font>
      <b/>
      <sz val="14"/>
      <color theme="1"/>
      <name val="Times New Roman"/>
      <family val="1"/>
    </font>
    <font>
      <b/>
      <sz val="11"/>
      <color rgb="FF000000"/>
      <name val="Calibri"/>
      <family val="2"/>
    </font>
    <font>
      <sz val="11"/>
      <color theme="1"/>
      <name val="Calibri"/>
      <family val="2"/>
    </font>
    <font>
      <b/>
      <sz val="11"/>
      <color indexed="18"/>
      <name val="Calibri"/>
      <family val="2"/>
      <scheme val="minor"/>
    </font>
    <font>
      <b/>
      <sz val="12"/>
      <color theme="1"/>
      <name val="Calibri"/>
      <family val="2"/>
      <scheme val="minor"/>
    </font>
  </fonts>
  <fills count="13">
    <fill>
      <patternFill patternType="none"/>
    </fill>
    <fill>
      <patternFill patternType="gray125"/>
    </fill>
    <fill>
      <patternFill patternType="solid">
        <fgColor theme="5" tint="0.79998168889431442"/>
        <bgColor indexed="64"/>
      </patternFill>
    </fill>
    <fill>
      <patternFill patternType="solid">
        <fgColor rgb="FFFCE4D6"/>
        <bgColor rgb="FF000000"/>
      </patternFill>
    </fill>
    <fill>
      <patternFill patternType="solid">
        <fgColor rgb="FFD9E1F2"/>
        <bgColor rgb="FF000000"/>
      </patternFill>
    </fill>
    <fill>
      <patternFill patternType="solid">
        <fgColor rgb="FFFCE4D6"/>
        <bgColor indexed="64"/>
      </patternFill>
    </fill>
    <fill>
      <patternFill patternType="solid">
        <fgColor rgb="FFD9E1F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FFFF00"/>
        <bgColor indexed="64"/>
      </patternFill>
    </fill>
    <fill>
      <patternFill patternType="solid">
        <fgColor theme="9"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medium">
        <color indexed="23"/>
      </top>
      <bottom/>
      <diagonal/>
    </border>
    <border>
      <left/>
      <right/>
      <top/>
      <bottom style="medium">
        <color indexed="23"/>
      </bottom>
      <diagonal/>
    </border>
    <border>
      <left/>
      <right/>
      <top style="medium">
        <color indexed="23"/>
      </top>
      <bottom style="medium">
        <color indexed="23"/>
      </bottom>
      <diagonal/>
    </border>
    <border>
      <left/>
      <right/>
      <top style="thin">
        <color indexed="23"/>
      </top>
      <bottom style="medium">
        <color indexed="23"/>
      </bottom>
      <diagonal/>
    </border>
    <border>
      <left/>
      <right/>
      <top style="thin">
        <color indexed="23"/>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thin">
        <color indexed="64"/>
      </left>
      <right/>
      <top/>
      <bottom/>
      <diagonal/>
    </border>
  </borders>
  <cellStyleXfs count="1">
    <xf numFmtId="0" fontId="0" fillId="0" borderId="0"/>
  </cellStyleXfs>
  <cellXfs count="49">
    <xf numFmtId="0" fontId="0" fillId="0" borderId="0" xfId="0"/>
    <xf numFmtId="0" fontId="3" fillId="0" borderId="1" xfId="0" applyFont="1" applyBorder="1"/>
    <xf numFmtId="0" fontId="0" fillId="0" borderId="1" xfId="0" applyBorder="1"/>
    <xf numFmtId="0" fontId="5" fillId="0" borderId="0" xfId="0" applyFont="1"/>
    <xf numFmtId="0" fontId="4" fillId="0" borderId="1" xfId="0" applyFont="1" applyBorder="1"/>
    <xf numFmtId="0" fontId="6" fillId="3" borderId="1" xfId="0" applyFont="1" applyFill="1" applyBorder="1"/>
    <xf numFmtId="0" fontId="7" fillId="0" borderId="0" xfId="0" applyFont="1"/>
    <xf numFmtId="0" fontId="6" fillId="4" borderId="1" xfId="0" applyFont="1" applyFill="1" applyBorder="1"/>
    <xf numFmtId="0" fontId="7" fillId="0" borderId="1" xfId="0" applyFont="1" applyBorder="1"/>
    <xf numFmtId="1" fontId="7" fillId="0" borderId="1" xfId="0" applyNumberFormat="1" applyFont="1" applyBorder="1"/>
    <xf numFmtId="0" fontId="1" fillId="5" borderId="1" xfId="0" applyFont="1" applyFill="1" applyBorder="1"/>
    <xf numFmtId="0" fontId="1" fillId="6" borderId="1" xfId="0" applyFont="1" applyFill="1" applyBorder="1"/>
    <xf numFmtId="164" fontId="0" fillId="0" borderId="1" xfId="0" applyNumberFormat="1" applyBorder="1"/>
    <xf numFmtId="1" fontId="0" fillId="0" borderId="1" xfId="0" applyNumberFormat="1" applyBorder="1"/>
    <xf numFmtId="0" fontId="1" fillId="0" borderId="0" xfId="0" applyFont="1"/>
    <xf numFmtId="0" fontId="0" fillId="0" borderId="5" xfId="0" applyBorder="1"/>
    <xf numFmtId="0" fontId="8" fillId="0" borderId="4" xfId="0" applyFont="1" applyBorder="1" applyAlignment="1">
      <alignment horizontal="center"/>
    </xf>
    <xf numFmtId="0" fontId="0" fillId="0" borderId="6" xfId="0" applyBorder="1"/>
    <xf numFmtId="164" fontId="0" fillId="0" borderId="5" xfId="0" applyNumberFormat="1" applyBorder="1"/>
    <xf numFmtId="164" fontId="0" fillId="0" borderId="6" xfId="0" applyNumberFormat="1" applyBorder="1"/>
    <xf numFmtId="1" fontId="0" fillId="0" borderId="6" xfId="0" applyNumberFormat="1" applyBorder="1"/>
    <xf numFmtId="1" fontId="0" fillId="0" borderId="5" xfId="0" applyNumberFormat="1" applyBorder="1"/>
    <xf numFmtId="0" fontId="8" fillId="0" borderId="2" xfId="0" applyFont="1" applyBorder="1" applyAlignment="1">
      <alignment horizontal="center"/>
    </xf>
    <xf numFmtId="0" fontId="8" fillId="0" borderId="3" xfId="0" applyFont="1" applyBorder="1" applyAlignment="1">
      <alignment horizontal="center"/>
    </xf>
    <xf numFmtId="0" fontId="0" fillId="0" borderId="5" xfId="0" applyFill="1" applyBorder="1" applyAlignment="1"/>
    <xf numFmtId="0" fontId="8" fillId="0" borderId="4" xfId="0" applyFont="1" applyFill="1" applyBorder="1" applyAlignment="1">
      <alignment horizontal="center"/>
    </xf>
    <xf numFmtId="0" fontId="0" fillId="0" borderId="6" xfId="0" applyFill="1" applyBorder="1" applyAlignment="1"/>
    <xf numFmtId="0" fontId="0" fillId="0" borderId="5" xfId="0" applyNumberFormat="1" applyFill="1" applyBorder="1" applyAlignment="1"/>
    <xf numFmtId="0" fontId="0" fillId="0" borderId="6" xfId="0" applyNumberFormat="1" applyFill="1" applyBorder="1" applyAlignment="1"/>
    <xf numFmtId="0" fontId="8" fillId="0" borderId="2" xfId="0" applyFont="1" applyFill="1" applyBorder="1" applyAlignment="1">
      <alignment horizontal="center"/>
    </xf>
    <xf numFmtId="0" fontId="8" fillId="0" borderId="3" xfId="0" applyFont="1" applyFill="1" applyBorder="1" applyAlignment="1">
      <alignment horizontal="center"/>
    </xf>
    <xf numFmtId="0" fontId="0" fillId="7" borderId="8" xfId="0" applyFill="1" applyBorder="1"/>
    <xf numFmtId="0" fontId="0" fillId="8" borderId="1" xfId="0" applyFill="1" applyBorder="1"/>
    <xf numFmtId="0" fontId="3" fillId="8" borderId="1" xfId="0" applyFont="1" applyFill="1" applyBorder="1"/>
    <xf numFmtId="0" fontId="1" fillId="8" borderId="1" xfId="0" applyFont="1" applyFill="1" applyBorder="1"/>
    <xf numFmtId="0" fontId="9" fillId="9" borderId="7" xfId="0" applyFont="1" applyFill="1" applyBorder="1"/>
    <xf numFmtId="0" fontId="4" fillId="0" borderId="0" xfId="0" applyFont="1" applyAlignment="1">
      <alignment horizontal="left" vertical="top" wrapText="1"/>
    </xf>
    <xf numFmtId="0" fontId="2" fillId="2" borderId="0" xfId="0" applyFont="1" applyFill="1" applyAlignment="1">
      <alignment horizontal="center"/>
    </xf>
    <xf numFmtId="0" fontId="4" fillId="0" borderId="0" xfId="0" applyFont="1" applyAlignment="1">
      <alignment horizontal="center"/>
    </xf>
    <xf numFmtId="0" fontId="2" fillId="10" borderId="0" xfId="0" applyFont="1" applyFill="1" applyAlignment="1">
      <alignment horizontal="center" vertical="center"/>
    </xf>
    <xf numFmtId="0" fontId="0" fillId="0" borderId="0" xfId="0" applyAlignment="1">
      <alignment horizontal="left" vertical="top" wrapText="1"/>
    </xf>
    <xf numFmtId="0" fontId="0" fillId="0" borderId="0" xfId="0" applyAlignment="1">
      <alignment horizontal="center"/>
    </xf>
    <xf numFmtId="0" fontId="0" fillId="0" borderId="9" xfId="0" applyBorder="1" applyAlignment="1">
      <alignment horizontal="center"/>
    </xf>
    <xf numFmtId="0" fontId="1" fillId="0" borderId="9" xfId="0" applyFont="1" applyBorder="1" applyAlignment="1">
      <alignment horizontal="center"/>
    </xf>
    <xf numFmtId="0" fontId="1" fillId="0" borderId="0" xfId="0" applyFont="1" applyAlignment="1">
      <alignment horizontal="center"/>
    </xf>
    <xf numFmtId="0" fontId="0" fillId="0" borderId="0" xfId="0" applyAlignment="1">
      <alignment horizontal="center" vertical="top" wrapText="1"/>
    </xf>
    <xf numFmtId="0" fontId="0" fillId="0" borderId="0" xfId="0" applyAlignment="1">
      <alignment vertical="top" wrapText="1"/>
    </xf>
    <xf numFmtId="0" fontId="9" fillId="11" borderId="1" xfId="0" applyFont="1" applyFill="1" applyBorder="1"/>
    <xf numFmtId="0" fontId="0" fillId="12" borderId="1" xfId="0" applyFill="1" applyBorder="1"/>
  </cellXfs>
  <cellStyles count="1">
    <cellStyle name="Normal" xfId="0" builtinId="0"/>
  </cellStyles>
  <dxfs count="0"/>
  <tableStyles count="0" defaultTableStyle="TableStyleMedium2" defaultPivotStyle="PivotStyleMedium9"/>
  <colors>
    <mruColors>
      <color rgb="FFCF6A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O29"/>
  <sheetViews>
    <sheetView topLeftCell="B1" zoomScale="80" zoomScaleNormal="80" workbookViewId="0">
      <selection activeCell="K13" sqref="K13"/>
    </sheetView>
  </sheetViews>
  <sheetFormatPr defaultRowHeight="15" x14ac:dyDescent="0.25"/>
  <cols>
    <col min="2" max="2" width="17.28515625" customWidth="1"/>
    <col min="3" max="3" width="27.28515625" bestFit="1" customWidth="1"/>
    <col min="4" max="4" width="26.140625" bestFit="1" customWidth="1"/>
    <col min="5" max="5" width="21.42578125" bestFit="1" customWidth="1"/>
    <col min="6" max="6" width="42.42578125" bestFit="1" customWidth="1"/>
    <col min="7" max="7" width="41" bestFit="1" customWidth="1"/>
    <col min="14" max="14" width="1.140625" customWidth="1"/>
    <col min="15" max="15" width="9.140625" hidden="1" customWidth="1"/>
  </cols>
  <sheetData>
    <row r="2" spans="3:15" ht="26.25" x14ac:dyDescent="0.4">
      <c r="C2" s="37" t="s">
        <v>0</v>
      </c>
      <c r="D2" s="37"/>
      <c r="E2" s="37"/>
      <c r="F2" s="37"/>
      <c r="G2" s="37"/>
      <c r="H2" s="37"/>
      <c r="I2" s="37"/>
      <c r="J2" s="37"/>
      <c r="K2" s="37"/>
      <c r="L2" s="37"/>
      <c r="M2" s="37"/>
      <c r="N2" s="37"/>
      <c r="O2" s="37"/>
    </row>
    <row r="3" spans="3:15" ht="15.75" x14ac:dyDescent="0.25">
      <c r="C3" s="38" t="s">
        <v>41</v>
      </c>
      <c r="D3" s="38"/>
      <c r="E3" s="38"/>
      <c r="F3" s="38"/>
      <c r="G3" s="38"/>
      <c r="H3" s="38"/>
      <c r="I3" s="38"/>
      <c r="J3" s="38"/>
      <c r="K3" s="38"/>
      <c r="L3" s="38"/>
      <c r="M3" s="38"/>
      <c r="N3" s="38"/>
      <c r="O3" s="38"/>
    </row>
    <row r="4" spans="3:15" ht="15.75" x14ac:dyDescent="0.25">
      <c r="C4" s="38" t="s">
        <v>1</v>
      </c>
      <c r="D4" s="38"/>
      <c r="E4" s="38"/>
      <c r="F4" s="38"/>
      <c r="G4" s="38"/>
      <c r="H4" s="38"/>
      <c r="I4" s="38"/>
      <c r="J4" s="38"/>
      <c r="K4" s="38"/>
      <c r="L4" s="38"/>
      <c r="M4" s="38"/>
      <c r="N4" s="38"/>
      <c r="O4" s="38"/>
    </row>
    <row r="5" spans="3:15" ht="15.75" x14ac:dyDescent="0.25">
      <c r="C5" s="38" t="s">
        <v>2</v>
      </c>
      <c r="D5" s="38"/>
      <c r="E5" s="38"/>
      <c r="F5" s="38"/>
      <c r="G5" s="38"/>
      <c r="H5" s="38"/>
      <c r="I5" s="38"/>
      <c r="J5" s="38"/>
      <c r="K5" s="38"/>
      <c r="L5" s="38"/>
      <c r="M5" s="38"/>
      <c r="N5" s="38"/>
      <c r="O5" s="38"/>
    </row>
    <row r="6" spans="3:15" ht="15.75" x14ac:dyDescent="0.25">
      <c r="C6" s="38" t="s">
        <v>3</v>
      </c>
      <c r="D6" s="38"/>
      <c r="E6" s="38"/>
      <c r="F6" s="38"/>
      <c r="G6" s="38"/>
      <c r="H6" s="38"/>
      <c r="I6" s="38"/>
      <c r="J6" s="38"/>
      <c r="K6" s="38"/>
      <c r="L6" s="38"/>
      <c r="M6" s="38"/>
      <c r="N6" s="38"/>
      <c r="O6" s="38"/>
    </row>
    <row r="7" spans="3:15" ht="15.75" x14ac:dyDescent="0.25">
      <c r="C7" s="38" t="s">
        <v>4</v>
      </c>
      <c r="D7" s="38"/>
      <c r="E7" s="38"/>
      <c r="F7" s="38"/>
      <c r="G7" s="38"/>
      <c r="H7" s="38"/>
      <c r="I7" s="38"/>
      <c r="J7" s="38"/>
      <c r="K7" s="38"/>
      <c r="L7" s="38"/>
      <c r="M7" s="38"/>
      <c r="N7" s="38"/>
      <c r="O7" s="38"/>
    </row>
    <row r="10" spans="3:15" x14ac:dyDescent="0.25">
      <c r="D10" s="1" t="s">
        <v>5</v>
      </c>
      <c r="E10" s="1" t="s">
        <v>6</v>
      </c>
      <c r="F10" s="1" t="s">
        <v>7</v>
      </c>
      <c r="G10" s="1" t="s">
        <v>8</v>
      </c>
    </row>
    <row r="11" spans="3:15" ht="15.75" x14ac:dyDescent="0.25">
      <c r="D11" s="4" t="s">
        <v>9</v>
      </c>
      <c r="E11" s="4" t="s">
        <v>10</v>
      </c>
      <c r="F11" s="4"/>
      <c r="G11" s="4" t="s">
        <v>11</v>
      </c>
    </row>
    <row r="12" spans="3:15" ht="15.75" x14ac:dyDescent="0.25">
      <c r="D12" s="4" t="s">
        <v>12</v>
      </c>
      <c r="E12" s="4" t="s">
        <v>13</v>
      </c>
      <c r="F12" s="4" t="s">
        <v>15</v>
      </c>
      <c r="G12" s="4" t="s">
        <v>16</v>
      </c>
    </row>
    <row r="13" spans="3:15" ht="15.75" x14ac:dyDescent="0.25">
      <c r="D13" s="4"/>
      <c r="E13" s="4" t="s">
        <v>14</v>
      </c>
      <c r="F13" s="4"/>
      <c r="G13" s="4"/>
    </row>
    <row r="14" spans="3:15" ht="15.75" x14ac:dyDescent="0.25">
      <c r="D14" s="4" t="s">
        <v>17</v>
      </c>
      <c r="E14" s="4" t="s">
        <v>18</v>
      </c>
      <c r="F14" s="4" t="s">
        <v>19</v>
      </c>
      <c r="G14" s="4" t="s">
        <v>20</v>
      </c>
    </row>
    <row r="15" spans="3:15" ht="15.75" x14ac:dyDescent="0.25">
      <c r="D15" s="4" t="s">
        <v>21</v>
      </c>
      <c r="E15" s="4" t="s">
        <v>22</v>
      </c>
      <c r="F15" s="4" t="s">
        <v>23</v>
      </c>
      <c r="G15" s="4" t="s">
        <v>24</v>
      </c>
    </row>
    <row r="16" spans="3:15" ht="15.75" x14ac:dyDescent="0.25">
      <c r="D16" s="4" t="s">
        <v>25</v>
      </c>
      <c r="E16" s="4" t="s">
        <v>37</v>
      </c>
      <c r="F16" s="4" t="s">
        <v>26</v>
      </c>
      <c r="G16" s="4" t="s">
        <v>27</v>
      </c>
    </row>
    <row r="17" spans="3:9" ht="15.75" x14ac:dyDescent="0.25">
      <c r="D17" s="4" t="s">
        <v>28</v>
      </c>
      <c r="E17" s="4" t="s">
        <v>29</v>
      </c>
      <c r="F17" s="4" t="s">
        <v>30</v>
      </c>
      <c r="G17" s="4" t="s">
        <v>31</v>
      </c>
    </row>
    <row r="18" spans="3:9" ht="15.75" x14ac:dyDescent="0.25">
      <c r="D18" s="4" t="s">
        <v>32</v>
      </c>
      <c r="E18" s="4" t="s">
        <v>33</v>
      </c>
      <c r="F18" s="4"/>
      <c r="G18" s="4" t="s">
        <v>34</v>
      </c>
    </row>
    <row r="19" spans="3:9" ht="15.75" x14ac:dyDescent="0.25">
      <c r="D19" s="4" t="s">
        <v>35</v>
      </c>
      <c r="E19" s="4" t="s">
        <v>36</v>
      </c>
      <c r="F19" s="4"/>
      <c r="G19" s="4" t="s">
        <v>38</v>
      </c>
    </row>
    <row r="21" spans="3:9" ht="18.75" x14ac:dyDescent="0.3">
      <c r="C21" s="3" t="s">
        <v>39</v>
      </c>
    </row>
    <row r="22" spans="3:9" x14ac:dyDescent="0.25">
      <c r="C22" s="36" t="s">
        <v>40</v>
      </c>
      <c r="D22" s="36"/>
      <c r="E22" s="36"/>
      <c r="F22" s="36"/>
      <c r="G22" s="36"/>
      <c r="H22" s="36"/>
      <c r="I22" s="36"/>
    </row>
    <row r="23" spans="3:9" x14ac:dyDescent="0.25">
      <c r="C23" s="36"/>
      <c r="D23" s="36"/>
      <c r="E23" s="36"/>
      <c r="F23" s="36"/>
      <c r="G23" s="36"/>
      <c r="H23" s="36"/>
      <c r="I23" s="36"/>
    </row>
    <row r="24" spans="3:9" x14ac:dyDescent="0.25">
      <c r="C24" s="36"/>
      <c r="D24" s="36"/>
      <c r="E24" s="36"/>
      <c r="F24" s="36"/>
      <c r="G24" s="36"/>
      <c r="H24" s="36"/>
      <c r="I24" s="36"/>
    </row>
    <row r="25" spans="3:9" x14ac:dyDescent="0.25">
      <c r="C25" s="36"/>
      <c r="D25" s="36"/>
      <c r="E25" s="36"/>
      <c r="F25" s="36"/>
      <c r="G25" s="36"/>
      <c r="H25" s="36"/>
      <c r="I25" s="36"/>
    </row>
    <row r="26" spans="3:9" x14ac:dyDescent="0.25">
      <c r="C26" s="36"/>
      <c r="D26" s="36"/>
      <c r="E26" s="36"/>
      <c r="F26" s="36"/>
      <c r="G26" s="36"/>
      <c r="H26" s="36"/>
      <c r="I26" s="36"/>
    </row>
    <row r="27" spans="3:9" x14ac:dyDescent="0.25">
      <c r="C27" s="36"/>
      <c r="D27" s="36"/>
      <c r="E27" s="36"/>
      <c r="F27" s="36"/>
      <c r="G27" s="36"/>
      <c r="H27" s="36"/>
      <c r="I27" s="36"/>
    </row>
    <row r="28" spans="3:9" x14ac:dyDescent="0.25">
      <c r="C28" s="36"/>
      <c r="D28" s="36"/>
      <c r="E28" s="36"/>
      <c r="F28" s="36"/>
      <c r="G28" s="36"/>
      <c r="H28" s="36"/>
      <c r="I28" s="36"/>
    </row>
    <row r="29" spans="3:9" x14ac:dyDescent="0.25">
      <c r="C29" s="36"/>
      <c r="D29" s="36"/>
      <c r="E29" s="36"/>
      <c r="F29" s="36"/>
      <c r="G29" s="36"/>
      <c r="H29" s="36"/>
      <c r="I29" s="36"/>
    </row>
  </sheetData>
  <mergeCells count="7">
    <mergeCell ref="C22:I29"/>
    <mergeCell ref="C2:O2"/>
    <mergeCell ref="C3:O3"/>
    <mergeCell ref="C6:O6"/>
    <mergeCell ref="C7:O7"/>
    <mergeCell ref="C4:O4"/>
    <mergeCell ref="C5:O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2"/>
  <sheetViews>
    <sheetView workbookViewId="0">
      <selection activeCell="C5" sqref="C5"/>
    </sheetView>
  </sheetViews>
  <sheetFormatPr defaultRowHeight="15" x14ac:dyDescent="0.25"/>
  <cols>
    <col min="2" max="2" width="41.5703125" bestFit="1" customWidth="1"/>
    <col min="3" max="3" width="21.42578125" bestFit="1" customWidth="1"/>
    <col min="4" max="4" width="16.28515625" bestFit="1" customWidth="1"/>
    <col min="5" max="5" width="15.28515625" bestFit="1" customWidth="1"/>
  </cols>
  <sheetData>
    <row r="2" spans="2:7" x14ac:dyDescent="0.25">
      <c r="G2" s="6"/>
    </row>
    <row r="3" spans="2:7" x14ac:dyDescent="0.25">
      <c r="B3" s="5" t="s">
        <v>68</v>
      </c>
      <c r="C3" s="6"/>
      <c r="D3" s="6"/>
      <c r="E3" s="6"/>
      <c r="G3" s="6"/>
    </row>
    <row r="4" spans="2:7" x14ac:dyDescent="0.25">
      <c r="B4" s="7" t="s">
        <v>42</v>
      </c>
      <c r="C4" s="7" t="s">
        <v>43</v>
      </c>
      <c r="D4" s="7" t="s">
        <v>44</v>
      </c>
      <c r="E4" s="7" t="s">
        <v>45</v>
      </c>
    </row>
    <row r="5" spans="2:7" x14ac:dyDescent="0.25">
      <c r="B5" s="8" t="s">
        <v>46</v>
      </c>
      <c r="C5" s="9">
        <v>20</v>
      </c>
      <c r="D5" s="9">
        <v>30</v>
      </c>
      <c r="E5" s="8" t="s">
        <v>47</v>
      </c>
    </row>
    <row r="6" spans="2:7" x14ac:dyDescent="0.25">
      <c r="B6" s="8" t="s">
        <v>48</v>
      </c>
      <c r="C6" s="9">
        <v>25</v>
      </c>
      <c r="D6" s="9">
        <v>40</v>
      </c>
      <c r="E6" s="8" t="s">
        <v>47</v>
      </c>
    </row>
    <row r="7" spans="2:7" x14ac:dyDescent="0.25">
      <c r="B7" s="8" t="s">
        <v>49</v>
      </c>
      <c r="C7" s="9">
        <v>2</v>
      </c>
      <c r="D7" s="9">
        <v>4</v>
      </c>
      <c r="E7" s="8" t="s">
        <v>26</v>
      </c>
    </row>
    <row r="9" spans="2:7" x14ac:dyDescent="0.25">
      <c r="B9" s="10" t="s">
        <v>69</v>
      </c>
    </row>
    <row r="10" spans="2:7" x14ac:dyDescent="0.25">
      <c r="B10" s="11" t="s">
        <v>50</v>
      </c>
      <c r="C10" s="11" t="s">
        <v>51</v>
      </c>
      <c r="D10" s="11" t="s">
        <v>45</v>
      </c>
    </row>
    <row r="11" spans="2:7" x14ac:dyDescent="0.25">
      <c r="B11" s="2" t="s">
        <v>52</v>
      </c>
      <c r="C11" s="2">
        <v>300</v>
      </c>
      <c r="D11" s="2" t="s">
        <v>30</v>
      </c>
    </row>
    <row r="12" spans="2:7" x14ac:dyDescent="0.25">
      <c r="B12" s="2" t="s">
        <v>53</v>
      </c>
      <c r="C12" s="2">
        <v>100</v>
      </c>
      <c r="D12" s="2" t="s">
        <v>30</v>
      </c>
    </row>
    <row r="14" spans="2:7" x14ac:dyDescent="0.25">
      <c r="B14" s="10" t="s">
        <v>54</v>
      </c>
    </row>
    <row r="15" spans="2:7" x14ac:dyDescent="0.25">
      <c r="B15" s="11" t="s">
        <v>55</v>
      </c>
      <c r="C15" s="11" t="s">
        <v>51</v>
      </c>
      <c r="D15" s="11" t="s">
        <v>58</v>
      </c>
    </row>
    <row r="16" spans="2:7" x14ac:dyDescent="0.25">
      <c r="B16" s="2" t="s">
        <v>57</v>
      </c>
      <c r="C16" s="12">
        <f>C5*C11 + D5*C12</f>
        <v>9000</v>
      </c>
      <c r="D16" s="2" t="s">
        <v>56</v>
      </c>
    </row>
    <row r="18" spans="2:7" x14ac:dyDescent="0.25">
      <c r="B18" s="10" t="s">
        <v>67</v>
      </c>
    </row>
    <row r="19" spans="2:7" x14ac:dyDescent="0.25">
      <c r="B19" s="11" t="s">
        <v>59</v>
      </c>
      <c r="C19" s="11" t="s">
        <v>60</v>
      </c>
      <c r="D19" s="11" t="s">
        <v>61</v>
      </c>
      <c r="E19" s="11" t="s">
        <v>62</v>
      </c>
      <c r="F19" s="11" t="s">
        <v>45</v>
      </c>
      <c r="G19" s="11" t="s">
        <v>63</v>
      </c>
    </row>
    <row r="20" spans="2:7" x14ac:dyDescent="0.25">
      <c r="B20" s="2" t="s">
        <v>64</v>
      </c>
      <c r="C20" s="12">
        <f>C6*$C$11 + D6*$C$12</f>
        <v>11500</v>
      </c>
      <c r="D20" s="2" t="s">
        <v>61</v>
      </c>
      <c r="E20" s="12">
        <v>12000</v>
      </c>
      <c r="F20" s="2" t="s">
        <v>23</v>
      </c>
      <c r="G20" s="12">
        <f>E20 - C20</f>
        <v>500</v>
      </c>
    </row>
    <row r="21" spans="2:7" x14ac:dyDescent="0.25">
      <c r="B21" s="2" t="s">
        <v>65</v>
      </c>
      <c r="C21" s="13">
        <f>C7*$C$11 + D7*$C$12</f>
        <v>1000</v>
      </c>
      <c r="D21" s="2" t="s">
        <v>61</v>
      </c>
      <c r="E21" s="13">
        <v>1000</v>
      </c>
      <c r="F21" s="2" t="s">
        <v>26</v>
      </c>
      <c r="G21" s="13">
        <f>E21-C21</f>
        <v>0</v>
      </c>
    </row>
    <row r="22" spans="2:7" x14ac:dyDescent="0.25">
      <c r="B22" s="2" t="s">
        <v>66</v>
      </c>
      <c r="C22" s="13">
        <f>$C$11 + $C$12</f>
        <v>400</v>
      </c>
      <c r="D22" s="2" t="s">
        <v>61</v>
      </c>
      <c r="E22" s="13">
        <v>400</v>
      </c>
      <c r="F22" s="2" t="s">
        <v>30</v>
      </c>
      <c r="G22" s="13">
        <f>E22-C22</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showGridLines="0" topLeftCell="A11" workbookViewId="0">
      <selection activeCell="C5" sqref="A3:C5"/>
    </sheetView>
  </sheetViews>
  <sheetFormatPr defaultRowHeight="15" x14ac:dyDescent="0.25"/>
  <cols>
    <col min="1" max="1" width="2.28515625" customWidth="1"/>
    <col min="2" max="2" width="6.140625" bestFit="1" customWidth="1"/>
    <col min="3" max="3" width="22.42578125" bestFit="1" customWidth="1"/>
    <col min="4" max="4" width="12.7109375" bestFit="1" customWidth="1"/>
    <col min="5" max="5" width="13.28515625" bestFit="1" customWidth="1"/>
    <col min="6" max="6" width="10.42578125" bestFit="1" customWidth="1"/>
    <col min="7" max="7" width="5.28515625" bestFit="1" customWidth="1"/>
  </cols>
  <sheetData>
    <row r="1" spans="1:5" x14ac:dyDescent="0.25">
      <c r="A1" s="14" t="s">
        <v>70</v>
      </c>
    </row>
    <row r="2" spans="1:5" x14ac:dyDescent="0.25">
      <c r="A2" s="14" t="s">
        <v>71</v>
      </c>
    </row>
    <row r="3" spans="1:5" x14ac:dyDescent="0.25">
      <c r="A3" s="14"/>
    </row>
    <row r="4" spans="1:5" x14ac:dyDescent="0.25">
      <c r="A4" s="14"/>
    </row>
    <row r="5" spans="1:5" x14ac:dyDescent="0.25">
      <c r="A5" s="14"/>
    </row>
    <row r="6" spans="1:5" x14ac:dyDescent="0.25">
      <c r="A6" s="14"/>
      <c r="B6" t="s">
        <v>74</v>
      </c>
    </row>
    <row r="7" spans="1:5" x14ac:dyDescent="0.25">
      <c r="A7" s="14"/>
      <c r="B7" t="s">
        <v>75</v>
      </c>
    </row>
    <row r="8" spans="1:5" x14ac:dyDescent="0.25">
      <c r="A8" s="14"/>
      <c r="B8" t="s">
        <v>76</v>
      </c>
    </row>
    <row r="9" spans="1:5" x14ac:dyDescent="0.25">
      <c r="A9" s="14" t="s">
        <v>77</v>
      </c>
    </row>
    <row r="10" spans="1:5" x14ac:dyDescent="0.25">
      <c r="B10" t="s">
        <v>78</v>
      </c>
    </row>
    <row r="11" spans="1:5" x14ac:dyDescent="0.25">
      <c r="B11" t="s">
        <v>79</v>
      </c>
    </row>
    <row r="14" spans="1:5" ht="15.75" thickBot="1" x14ac:dyDescent="0.3">
      <c r="A14" t="s">
        <v>80</v>
      </c>
    </row>
    <row r="15" spans="1:5" ht="15.75" thickBot="1" x14ac:dyDescent="0.3">
      <c r="B15" s="16" t="s">
        <v>81</v>
      </c>
      <c r="C15" s="16" t="s">
        <v>82</v>
      </c>
      <c r="D15" s="16" t="s">
        <v>83</v>
      </c>
      <c r="E15" s="16" t="s">
        <v>84</v>
      </c>
    </row>
    <row r="16" spans="1:5" ht="15.75" thickBot="1" x14ac:dyDescent="0.3">
      <c r="B16" s="15" t="s">
        <v>91</v>
      </c>
      <c r="C16" s="15" t="s">
        <v>92</v>
      </c>
      <c r="D16" s="18">
        <v>0</v>
      </c>
      <c r="E16" s="18">
        <v>9000</v>
      </c>
    </row>
    <row r="19" spans="1:7" ht="15.75" thickBot="1" x14ac:dyDescent="0.3">
      <c r="A19" t="s">
        <v>85</v>
      </c>
    </row>
    <row r="20" spans="1:7" ht="15.75" thickBot="1" x14ac:dyDescent="0.3">
      <c r="B20" s="16" t="s">
        <v>81</v>
      </c>
      <c r="C20" s="16" t="s">
        <v>82</v>
      </c>
      <c r="D20" s="16" t="s">
        <v>83</v>
      </c>
      <c r="E20" s="16" t="s">
        <v>84</v>
      </c>
      <c r="F20" s="16" t="s">
        <v>86</v>
      </c>
    </row>
    <row r="21" spans="1:7" x14ac:dyDescent="0.25">
      <c r="B21" s="17" t="s">
        <v>93</v>
      </c>
      <c r="C21" s="17" t="s">
        <v>94</v>
      </c>
      <c r="D21" s="17">
        <v>0</v>
      </c>
      <c r="E21" s="17">
        <v>300</v>
      </c>
      <c r="F21" s="17" t="s">
        <v>95</v>
      </c>
    </row>
    <row r="22" spans="1:7" ht="15.75" thickBot="1" x14ac:dyDescent="0.3">
      <c r="B22" s="15" t="s">
        <v>96</v>
      </c>
      <c r="C22" s="15" t="s">
        <v>97</v>
      </c>
      <c r="D22" s="15">
        <v>0</v>
      </c>
      <c r="E22" s="15">
        <v>100</v>
      </c>
      <c r="F22" s="15" t="s">
        <v>95</v>
      </c>
    </row>
    <row r="25" spans="1:7" ht="15.75" thickBot="1" x14ac:dyDescent="0.3">
      <c r="A25" t="s">
        <v>87</v>
      </c>
    </row>
    <row r="26" spans="1:7" ht="15.75" thickBot="1" x14ac:dyDescent="0.3">
      <c r="B26" s="16" t="s">
        <v>81</v>
      </c>
      <c r="C26" s="16" t="s">
        <v>82</v>
      </c>
      <c r="D26" s="16" t="s">
        <v>88</v>
      </c>
      <c r="E26" s="16" t="s">
        <v>89</v>
      </c>
      <c r="F26" s="16" t="s">
        <v>90</v>
      </c>
      <c r="G26" s="16" t="s">
        <v>63</v>
      </c>
    </row>
    <row r="27" spans="1:7" x14ac:dyDescent="0.25">
      <c r="B27" s="17" t="s">
        <v>98</v>
      </c>
      <c r="C27" s="17" t="s">
        <v>99</v>
      </c>
      <c r="D27" s="19">
        <v>11500</v>
      </c>
      <c r="E27" s="17" t="s">
        <v>100</v>
      </c>
      <c r="F27" s="17" t="s">
        <v>101</v>
      </c>
      <c r="G27" s="17">
        <v>500</v>
      </c>
    </row>
    <row r="28" spans="1:7" x14ac:dyDescent="0.25">
      <c r="B28" s="17" t="s">
        <v>102</v>
      </c>
      <c r="C28" s="17" t="s">
        <v>103</v>
      </c>
      <c r="D28" s="20">
        <v>1000</v>
      </c>
      <c r="E28" s="17" t="s">
        <v>104</v>
      </c>
      <c r="F28" s="17" t="s">
        <v>105</v>
      </c>
      <c r="G28" s="17">
        <v>0</v>
      </c>
    </row>
    <row r="29" spans="1:7" ht="15.75" thickBot="1" x14ac:dyDescent="0.3">
      <c r="B29" s="15" t="s">
        <v>106</v>
      </c>
      <c r="C29" s="15" t="s">
        <v>107</v>
      </c>
      <c r="D29" s="21">
        <v>400</v>
      </c>
      <c r="E29" s="15" t="s">
        <v>108</v>
      </c>
      <c r="F29" s="15" t="s">
        <v>105</v>
      </c>
      <c r="G29" s="15">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showGridLines="0" workbookViewId="0"/>
  </sheetViews>
  <sheetFormatPr defaultRowHeight="15" x14ac:dyDescent="0.25"/>
  <cols>
    <col min="1" max="1" width="2.28515625" customWidth="1"/>
    <col min="2" max="2" width="6.140625" bestFit="1" customWidth="1"/>
    <col min="3" max="3" width="22.42578125" bestFit="1" customWidth="1"/>
    <col min="4" max="4" width="6" bestFit="1" customWidth="1"/>
    <col min="5" max="5" width="8.28515625" bestFit="1" customWidth="1"/>
    <col min="6" max="6" width="10.140625" bestFit="1" customWidth="1"/>
    <col min="7" max="7" width="12" bestFit="1" customWidth="1"/>
    <col min="8" max="8" width="9.28515625" bestFit="1" customWidth="1"/>
  </cols>
  <sheetData>
    <row r="1" spans="1:8" x14ac:dyDescent="0.25">
      <c r="A1" s="14" t="s">
        <v>109</v>
      </c>
    </row>
    <row r="2" spans="1:8" x14ac:dyDescent="0.25">
      <c r="A2" s="14" t="s">
        <v>71</v>
      </c>
    </row>
    <row r="3" spans="1:8" x14ac:dyDescent="0.25">
      <c r="A3" s="14" t="s">
        <v>110</v>
      </c>
    </row>
    <row r="6" spans="1:8" ht="15.75" thickBot="1" x14ac:dyDescent="0.3">
      <c r="A6" t="s">
        <v>85</v>
      </c>
    </row>
    <row r="7" spans="1:8" x14ac:dyDescent="0.25">
      <c r="B7" s="22"/>
      <c r="C7" s="22"/>
      <c r="D7" s="22" t="s">
        <v>111</v>
      </c>
      <c r="E7" s="22" t="s">
        <v>112</v>
      </c>
      <c r="F7" s="22" t="s">
        <v>54</v>
      </c>
      <c r="G7" s="22" t="s">
        <v>115</v>
      </c>
      <c r="H7" s="22" t="s">
        <v>115</v>
      </c>
    </row>
    <row r="8" spans="1:8" ht="15.75" thickBot="1" x14ac:dyDescent="0.3">
      <c r="B8" s="23" t="s">
        <v>81</v>
      </c>
      <c r="C8" s="23" t="s">
        <v>82</v>
      </c>
      <c r="D8" s="23" t="s">
        <v>51</v>
      </c>
      <c r="E8" s="23" t="s">
        <v>113</v>
      </c>
      <c r="F8" s="23" t="s">
        <v>114</v>
      </c>
      <c r="G8" s="23" t="s">
        <v>116</v>
      </c>
      <c r="H8" s="23" t="s">
        <v>117</v>
      </c>
    </row>
    <row r="9" spans="1:8" x14ac:dyDescent="0.25">
      <c r="B9" s="17" t="s">
        <v>93</v>
      </c>
      <c r="C9" s="17" t="s">
        <v>94</v>
      </c>
      <c r="D9" s="17">
        <v>300</v>
      </c>
      <c r="E9" s="17">
        <v>0</v>
      </c>
      <c r="F9" s="17">
        <v>20</v>
      </c>
      <c r="G9" s="17">
        <v>10</v>
      </c>
      <c r="H9" s="17">
        <v>5</v>
      </c>
    </row>
    <row r="10" spans="1:8" ht="15.75" thickBot="1" x14ac:dyDescent="0.3">
      <c r="B10" s="15" t="s">
        <v>96</v>
      </c>
      <c r="C10" s="15" t="s">
        <v>97</v>
      </c>
      <c r="D10" s="15">
        <v>100</v>
      </c>
      <c r="E10" s="15">
        <v>0</v>
      </c>
      <c r="F10" s="15">
        <v>30</v>
      </c>
      <c r="G10" s="15">
        <v>10</v>
      </c>
      <c r="H10" s="15">
        <v>10</v>
      </c>
    </row>
    <row r="12" spans="1:8" ht="15.75" thickBot="1" x14ac:dyDescent="0.3">
      <c r="A12" t="s">
        <v>87</v>
      </c>
    </row>
    <row r="13" spans="1:8" x14ac:dyDescent="0.25">
      <c r="B13" s="22"/>
      <c r="C13" s="22"/>
      <c r="D13" s="22" t="s">
        <v>111</v>
      </c>
      <c r="E13" s="22" t="s">
        <v>118</v>
      </c>
      <c r="F13" s="22" t="s">
        <v>59</v>
      </c>
      <c r="G13" s="22" t="s">
        <v>115</v>
      </c>
      <c r="H13" s="22" t="s">
        <v>115</v>
      </c>
    </row>
    <row r="14" spans="1:8" ht="15.75" thickBot="1" x14ac:dyDescent="0.3">
      <c r="B14" s="23" t="s">
        <v>81</v>
      </c>
      <c r="C14" s="23" t="s">
        <v>82</v>
      </c>
      <c r="D14" s="23" t="s">
        <v>51</v>
      </c>
      <c r="E14" s="23" t="s">
        <v>119</v>
      </c>
      <c r="F14" s="23" t="s">
        <v>120</v>
      </c>
      <c r="G14" s="23" t="s">
        <v>116</v>
      </c>
      <c r="H14" s="23" t="s">
        <v>117</v>
      </c>
    </row>
    <row r="15" spans="1:8" x14ac:dyDescent="0.25">
      <c r="B15" s="17" t="s">
        <v>98</v>
      </c>
      <c r="C15" s="17" t="s">
        <v>99</v>
      </c>
      <c r="D15" s="17">
        <v>11500</v>
      </c>
      <c r="E15" s="17">
        <v>0</v>
      </c>
      <c r="F15" s="17">
        <v>12000</v>
      </c>
      <c r="G15" s="17">
        <v>1E+30</v>
      </c>
      <c r="H15" s="17">
        <v>500</v>
      </c>
    </row>
    <row r="16" spans="1:8" x14ac:dyDescent="0.25">
      <c r="B16" s="17" t="s">
        <v>102</v>
      </c>
      <c r="C16" s="17" t="s">
        <v>103</v>
      </c>
      <c r="D16" s="17">
        <v>1000</v>
      </c>
      <c r="E16" s="17">
        <v>5</v>
      </c>
      <c r="F16" s="17">
        <v>1000</v>
      </c>
      <c r="G16" s="17">
        <v>66.666666666666671</v>
      </c>
      <c r="H16" s="17">
        <v>200</v>
      </c>
    </row>
    <row r="17" spans="2:8" ht="15.75" thickBot="1" x14ac:dyDescent="0.3">
      <c r="B17" s="15" t="s">
        <v>106</v>
      </c>
      <c r="C17" s="15" t="s">
        <v>107</v>
      </c>
      <c r="D17" s="15">
        <v>400</v>
      </c>
      <c r="E17" s="15">
        <v>10</v>
      </c>
      <c r="F17" s="15">
        <v>400</v>
      </c>
      <c r="G17" s="15">
        <v>50</v>
      </c>
      <c r="H17" s="15">
        <v>150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22"/>
  <sheetViews>
    <sheetView workbookViewId="0">
      <selection activeCell="J11" sqref="J11"/>
    </sheetView>
  </sheetViews>
  <sheetFormatPr defaultRowHeight="15" x14ac:dyDescent="0.25"/>
  <cols>
    <col min="2" max="2" width="41.5703125" bestFit="1" customWidth="1"/>
    <col min="3" max="3" width="21.42578125" bestFit="1" customWidth="1"/>
    <col min="4" max="4" width="16.28515625" bestFit="1" customWidth="1"/>
    <col min="5" max="5" width="15.28515625" bestFit="1" customWidth="1"/>
  </cols>
  <sheetData>
    <row r="2" spans="2:9" x14ac:dyDescent="0.25">
      <c r="G2" s="6"/>
    </row>
    <row r="3" spans="2:9" x14ac:dyDescent="0.25">
      <c r="B3" s="5" t="s">
        <v>68</v>
      </c>
      <c r="C3" s="6"/>
      <c r="D3" s="6"/>
      <c r="E3" s="6"/>
      <c r="G3" s="6"/>
    </row>
    <row r="4" spans="2:9" x14ac:dyDescent="0.25">
      <c r="B4" s="7" t="s">
        <v>42</v>
      </c>
      <c r="C4" s="7" t="s">
        <v>43</v>
      </c>
      <c r="D4" s="7" t="s">
        <v>44</v>
      </c>
      <c r="E4" s="7" t="s">
        <v>45</v>
      </c>
      <c r="F4" s="43" t="s">
        <v>216</v>
      </c>
      <c r="G4" s="44"/>
      <c r="H4" s="44"/>
      <c r="I4" s="44"/>
    </row>
    <row r="5" spans="2:9" x14ac:dyDescent="0.25">
      <c r="B5" s="8" t="s">
        <v>46</v>
      </c>
      <c r="C5" s="9">
        <v>22</v>
      </c>
      <c r="D5" s="9">
        <v>30</v>
      </c>
      <c r="E5" s="8" t="s">
        <v>47</v>
      </c>
    </row>
    <row r="6" spans="2:9" x14ac:dyDescent="0.25">
      <c r="B6" s="8" t="s">
        <v>48</v>
      </c>
      <c r="C6" s="9">
        <v>25</v>
      </c>
      <c r="D6" s="9">
        <v>40</v>
      </c>
      <c r="E6" s="8" t="s">
        <v>47</v>
      </c>
    </row>
    <row r="7" spans="2:9" x14ac:dyDescent="0.25">
      <c r="B7" s="8" t="s">
        <v>49</v>
      </c>
      <c r="C7" s="9">
        <v>2</v>
      </c>
      <c r="D7" s="9">
        <v>4</v>
      </c>
      <c r="E7" s="8" t="s">
        <v>26</v>
      </c>
    </row>
    <row r="9" spans="2:9" x14ac:dyDescent="0.25">
      <c r="B9" s="10" t="s">
        <v>69</v>
      </c>
    </row>
    <row r="10" spans="2:9" x14ac:dyDescent="0.25">
      <c r="B10" s="11" t="s">
        <v>50</v>
      </c>
      <c r="C10" s="11" t="s">
        <v>51</v>
      </c>
      <c r="D10" s="11" t="s">
        <v>45</v>
      </c>
    </row>
    <row r="11" spans="2:9" x14ac:dyDescent="0.25">
      <c r="B11" s="2" t="s">
        <v>52</v>
      </c>
      <c r="C11" s="2">
        <v>300</v>
      </c>
      <c r="D11" s="2" t="s">
        <v>30</v>
      </c>
    </row>
    <row r="12" spans="2:9" x14ac:dyDescent="0.25">
      <c r="B12" s="2" t="s">
        <v>53</v>
      </c>
      <c r="C12" s="2">
        <v>100</v>
      </c>
      <c r="D12" s="2" t="s">
        <v>30</v>
      </c>
    </row>
    <row r="14" spans="2:9" x14ac:dyDescent="0.25">
      <c r="B14" s="10" t="s">
        <v>54</v>
      </c>
    </row>
    <row r="15" spans="2:9" x14ac:dyDescent="0.25">
      <c r="B15" s="11" t="s">
        <v>55</v>
      </c>
      <c r="C15" s="11" t="s">
        <v>51</v>
      </c>
      <c r="D15" s="11" t="s">
        <v>58</v>
      </c>
    </row>
    <row r="16" spans="2:9" x14ac:dyDescent="0.25">
      <c r="B16" s="2" t="s">
        <v>57</v>
      </c>
      <c r="C16" s="12">
        <f>C5*C11 + D5*C12</f>
        <v>9600</v>
      </c>
      <c r="D16" s="2" t="s">
        <v>56</v>
      </c>
      <c r="E16" s="14" t="s">
        <v>229</v>
      </c>
      <c r="F16" s="14"/>
    </row>
    <row r="18" spans="2:7" x14ac:dyDescent="0.25">
      <c r="B18" s="10" t="s">
        <v>67</v>
      </c>
    </row>
    <row r="19" spans="2:7" x14ac:dyDescent="0.25">
      <c r="B19" s="11" t="s">
        <v>59</v>
      </c>
      <c r="C19" s="11" t="s">
        <v>60</v>
      </c>
      <c r="D19" s="11" t="s">
        <v>61</v>
      </c>
      <c r="E19" s="11" t="s">
        <v>62</v>
      </c>
      <c r="F19" s="11" t="s">
        <v>45</v>
      </c>
      <c r="G19" s="11" t="s">
        <v>63</v>
      </c>
    </row>
    <row r="20" spans="2:7" x14ac:dyDescent="0.25">
      <c r="B20" s="2" t="s">
        <v>64</v>
      </c>
      <c r="C20" s="12">
        <f>C6*$C$11 + D6*$C$12</f>
        <v>11500</v>
      </c>
      <c r="D20" s="2" t="s">
        <v>61</v>
      </c>
      <c r="E20" s="12">
        <v>12000</v>
      </c>
      <c r="F20" s="2" t="s">
        <v>23</v>
      </c>
      <c r="G20" s="12">
        <f>E20 - C20</f>
        <v>500</v>
      </c>
    </row>
    <row r="21" spans="2:7" x14ac:dyDescent="0.25">
      <c r="B21" s="2" t="s">
        <v>65</v>
      </c>
      <c r="C21" s="13">
        <f>C7*$C$11 + D7*$C$12</f>
        <v>1000</v>
      </c>
      <c r="D21" s="2" t="s">
        <v>61</v>
      </c>
      <c r="E21" s="13">
        <v>1000</v>
      </c>
      <c r="F21" s="2" t="s">
        <v>26</v>
      </c>
      <c r="G21" s="13">
        <f>E21-C21</f>
        <v>0</v>
      </c>
    </row>
    <row r="22" spans="2:7" x14ac:dyDescent="0.25">
      <c r="B22" s="2" t="s">
        <v>66</v>
      </c>
      <c r="C22" s="13">
        <f>$C$11 + $C$12</f>
        <v>400</v>
      </c>
      <c r="D22" s="2" t="s">
        <v>61</v>
      </c>
      <c r="E22" s="13">
        <v>400</v>
      </c>
      <c r="F22" s="2" t="s">
        <v>30</v>
      </c>
      <c r="G22" s="13">
        <f>E22-C22</f>
        <v>0</v>
      </c>
    </row>
  </sheetData>
  <mergeCells count="1">
    <mergeCell ref="F4:I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2"/>
  <sheetViews>
    <sheetView workbookViewId="0">
      <selection activeCell="K12" sqref="K12"/>
    </sheetView>
  </sheetViews>
  <sheetFormatPr defaultRowHeight="15" x14ac:dyDescent="0.25"/>
  <cols>
    <col min="2" max="2" width="41.5703125" bestFit="1" customWidth="1"/>
    <col min="3" max="3" width="21.42578125" bestFit="1" customWidth="1"/>
    <col min="4" max="4" width="16.28515625" bestFit="1" customWidth="1"/>
    <col min="5" max="5" width="15.28515625" bestFit="1" customWidth="1"/>
  </cols>
  <sheetData>
    <row r="2" spans="2:11" x14ac:dyDescent="0.25">
      <c r="G2" s="6"/>
    </row>
    <row r="3" spans="2:11" x14ac:dyDescent="0.25">
      <c r="B3" s="5" t="s">
        <v>68</v>
      </c>
      <c r="C3" s="6"/>
      <c r="D3" s="6"/>
      <c r="E3" s="6"/>
      <c r="G3" s="6"/>
    </row>
    <row r="4" spans="2:11" x14ac:dyDescent="0.25">
      <c r="B4" s="7" t="s">
        <v>42</v>
      </c>
      <c r="C4" s="7" t="s">
        <v>43</v>
      </c>
      <c r="D4" s="7" t="s">
        <v>44</v>
      </c>
      <c r="E4" s="7" t="s">
        <v>45</v>
      </c>
      <c r="F4" s="42"/>
      <c r="G4" s="41"/>
      <c r="H4" s="41"/>
      <c r="I4" s="41"/>
    </row>
    <row r="5" spans="2:11" x14ac:dyDescent="0.25">
      <c r="B5" s="8" t="s">
        <v>46</v>
      </c>
      <c r="C5" s="9">
        <v>20</v>
      </c>
      <c r="D5" s="9">
        <v>30</v>
      </c>
      <c r="E5" s="8" t="s">
        <v>47</v>
      </c>
    </row>
    <row r="6" spans="2:11" x14ac:dyDescent="0.25">
      <c r="B6" s="8" t="s">
        <v>48</v>
      </c>
      <c r="C6" s="9">
        <v>25</v>
      </c>
      <c r="D6" s="9">
        <v>40</v>
      </c>
      <c r="E6" s="8" t="s">
        <v>47</v>
      </c>
    </row>
    <row r="7" spans="2:11" x14ac:dyDescent="0.25">
      <c r="B7" s="8" t="s">
        <v>49</v>
      </c>
      <c r="C7" s="9">
        <v>2</v>
      </c>
      <c r="D7" s="9">
        <v>4</v>
      </c>
      <c r="E7" s="8" t="s">
        <v>26</v>
      </c>
    </row>
    <row r="9" spans="2:11" x14ac:dyDescent="0.25">
      <c r="B9" s="10" t="s">
        <v>69</v>
      </c>
    </row>
    <row r="10" spans="2:11" x14ac:dyDescent="0.25">
      <c r="B10" s="11" t="s">
        <v>50</v>
      </c>
      <c r="C10" s="11" t="s">
        <v>51</v>
      </c>
      <c r="D10" s="11" t="s">
        <v>45</v>
      </c>
    </row>
    <row r="11" spans="2:11" x14ac:dyDescent="0.25">
      <c r="B11" s="2" t="s">
        <v>52</v>
      </c>
      <c r="C11" s="2">
        <v>300</v>
      </c>
      <c r="D11" s="2" t="s">
        <v>30</v>
      </c>
    </row>
    <row r="12" spans="2:11" x14ac:dyDescent="0.25">
      <c r="B12" s="2" t="s">
        <v>53</v>
      </c>
      <c r="C12" s="2">
        <v>100</v>
      </c>
      <c r="D12" s="2" t="s">
        <v>30</v>
      </c>
    </row>
    <row r="14" spans="2:11" x14ac:dyDescent="0.25">
      <c r="B14" s="10" t="s">
        <v>54</v>
      </c>
    </row>
    <row r="15" spans="2:11" x14ac:dyDescent="0.25">
      <c r="B15" s="11" t="s">
        <v>55</v>
      </c>
      <c r="C15" s="11" t="s">
        <v>51</v>
      </c>
      <c r="D15" s="11" t="s">
        <v>58</v>
      </c>
    </row>
    <row r="16" spans="2:11" x14ac:dyDescent="0.25">
      <c r="B16" s="2" t="s">
        <v>57</v>
      </c>
      <c r="C16" s="12">
        <f>C5*C11 + D5*C12</f>
        <v>9000</v>
      </c>
      <c r="D16" s="2" t="s">
        <v>56</v>
      </c>
      <c r="E16" s="14" t="s">
        <v>230</v>
      </c>
      <c r="F16" s="14"/>
      <c r="G16" s="14"/>
      <c r="H16" s="14"/>
      <c r="I16" s="14"/>
      <c r="J16" s="14"/>
      <c r="K16" s="14"/>
    </row>
    <row r="18" spans="2:11" x14ac:dyDescent="0.25">
      <c r="B18" s="10" t="s">
        <v>67</v>
      </c>
    </row>
    <row r="19" spans="2:11" x14ac:dyDescent="0.25">
      <c r="B19" s="11" t="s">
        <v>59</v>
      </c>
      <c r="C19" s="11" t="s">
        <v>60</v>
      </c>
      <c r="D19" s="11" t="s">
        <v>61</v>
      </c>
      <c r="E19" s="11" t="s">
        <v>62</v>
      </c>
      <c r="F19" s="11" t="s">
        <v>45</v>
      </c>
      <c r="G19" s="11" t="s">
        <v>63</v>
      </c>
    </row>
    <row r="20" spans="2:11" x14ac:dyDescent="0.25">
      <c r="B20" s="2" t="s">
        <v>64</v>
      </c>
      <c r="C20" s="12">
        <f>C6*$C$11 + D6*$C$12</f>
        <v>11500</v>
      </c>
      <c r="D20" s="2" t="s">
        <v>61</v>
      </c>
      <c r="E20" s="12">
        <v>13000</v>
      </c>
      <c r="F20" s="2" t="s">
        <v>23</v>
      </c>
      <c r="G20" s="12">
        <f>E20 - C20</f>
        <v>1500</v>
      </c>
      <c r="H20" s="43" t="s">
        <v>217</v>
      </c>
      <c r="I20" s="44"/>
      <c r="J20" s="44"/>
      <c r="K20" s="44"/>
    </row>
    <row r="21" spans="2:11" x14ac:dyDescent="0.25">
      <c r="B21" s="2" t="s">
        <v>65</v>
      </c>
      <c r="C21" s="13">
        <f>C7*$C$11 + D7*$C$12</f>
        <v>1000</v>
      </c>
      <c r="D21" s="2" t="s">
        <v>61</v>
      </c>
      <c r="E21" s="13">
        <v>1000</v>
      </c>
      <c r="F21" s="2" t="s">
        <v>26</v>
      </c>
      <c r="G21" s="13">
        <f>E21-C21</f>
        <v>0</v>
      </c>
    </row>
    <row r="22" spans="2:11" x14ac:dyDescent="0.25">
      <c r="B22" s="2" t="s">
        <v>66</v>
      </c>
      <c r="C22" s="13">
        <f>$C$11 + $C$12</f>
        <v>400</v>
      </c>
      <c r="D22" s="2" t="s">
        <v>61</v>
      </c>
      <c r="E22" s="13">
        <v>400</v>
      </c>
      <c r="F22" s="2" t="s">
        <v>30</v>
      </c>
      <c r="G22" s="13">
        <f>E22-C22</f>
        <v>0</v>
      </c>
    </row>
  </sheetData>
  <mergeCells count="2">
    <mergeCell ref="F4:I4"/>
    <mergeCell ref="H20:K2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G15"/>
  <sheetViews>
    <sheetView workbookViewId="0">
      <selection activeCell="D15" sqref="D15"/>
    </sheetView>
  </sheetViews>
  <sheetFormatPr defaultRowHeight="15" x14ac:dyDescent="0.25"/>
  <cols>
    <col min="2" max="2" width="19.28515625" bestFit="1" customWidth="1"/>
    <col min="3" max="3" width="24.85546875" bestFit="1" customWidth="1"/>
    <col min="4" max="4" width="12.5703125" bestFit="1" customWidth="1"/>
    <col min="5" max="5" width="13.7109375" bestFit="1" customWidth="1"/>
    <col min="6" max="6" width="14.28515625" bestFit="1" customWidth="1"/>
    <col min="7" max="7" width="52.28515625" bestFit="1" customWidth="1"/>
  </cols>
  <sheetData>
    <row r="3" spans="2:7" ht="15.75" x14ac:dyDescent="0.25">
      <c r="C3" s="47" t="s">
        <v>218</v>
      </c>
      <c r="D3" s="47" t="s">
        <v>219</v>
      </c>
      <c r="E3" s="47" t="s">
        <v>220</v>
      </c>
      <c r="F3" s="47" t="s">
        <v>221</v>
      </c>
      <c r="G3" s="47" t="s">
        <v>222</v>
      </c>
    </row>
    <row r="4" spans="2:7" x14ac:dyDescent="0.25">
      <c r="B4" s="48" t="s">
        <v>227</v>
      </c>
      <c r="C4" s="48" t="s">
        <v>223</v>
      </c>
      <c r="D4" s="48">
        <v>9000</v>
      </c>
      <c r="E4" s="48">
        <v>9600</v>
      </c>
      <c r="F4" s="48">
        <v>600</v>
      </c>
      <c r="G4" s="48" t="s">
        <v>224</v>
      </c>
    </row>
    <row r="5" spans="2:7" x14ac:dyDescent="0.25">
      <c r="B5" s="48" t="s">
        <v>228</v>
      </c>
      <c r="C5" s="48" t="s">
        <v>225</v>
      </c>
      <c r="D5" s="48">
        <v>9000</v>
      </c>
      <c r="E5" s="48">
        <v>9000</v>
      </c>
      <c r="F5" s="48">
        <v>0</v>
      </c>
      <c r="G5" s="48" t="s">
        <v>226</v>
      </c>
    </row>
    <row r="7" spans="2:7" ht="15" customHeight="1" x14ac:dyDescent="0.25">
      <c r="B7" s="45" t="s">
        <v>231</v>
      </c>
      <c r="C7" s="45"/>
      <c r="D7" s="45"/>
      <c r="E7" s="45"/>
      <c r="F7" s="45"/>
      <c r="G7" s="45"/>
    </row>
    <row r="8" spans="2:7" x14ac:dyDescent="0.25">
      <c r="B8" s="45"/>
      <c r="C8" s="45"/>
      <c r="D8" s="45"/>
      <c r="E8" s="45"/>
      <c r="F8" s="45"/>
      <c r="G8" s="45"/>
    </row>
    <row r="9" spans="2:7" x14ac:dyDescent="0.25">
      <c r="B9" s="45"/>
      <c r="C9" s="45"/>
      <c r="D9" s="45"/>
      <c r="E9" s="45"/>
      <c r="F9" s="45"/>
      <c r="G9" s="45"/>
    </row>
    <row r="10" spans="2:7" x14ac:dyDescent="0.25">
      <c r="B10" s="45"/>
      <c r="C10" s="45"/>
      <c r="D10" s="45"/>
      <c r="E10" s="45"/>
      <c r="F10" s="45"/>
      <c r="G10" s="45"/>
    </row>
    <row r="11" spans="2:7" x14ac:dyDescent="0.25">
      <c r="B11" s="45"/>
      <c r="C11" s="45"/>
      <c r="D11" s="45"/>
      <c r="E11" s="45"/>
      <c r="F11" s="45"/>
      <c r="G11" s="45"/>
    </row>
    <row r="12" spans="2:7" x14ac:dyDescent="0.25">
      <c r="B12" s="45"/>
      <c r="C12" s="45"/>
      <c r="D12" s="45"/>
      <c r="E12" s="45"/>
      <c r="F12" s="45"/>
      <c r="G12" s="45"/>
    </row>
    <row r="13" spans="2:7" x14ac:dyDescent="0.25">
      <c r="B13" s="45"/>
      <c r="C13" s="45"/>
      <c r="D13" s="45"/>
      <c r="E13" s="45"/>
      <c r="F13" s="45"/>
      <c r="G13" s="45"/>
    </row>
    <row r="14" spans="2:7" x14ac:dyDescent="0.25">
      <c r="B14" s="46"/>
      <c r="C14" s="46"/>
      <c r="D14" s="46"/>
      <c r="E14" s="46"/>
      <c r="F14" s="46"/>
      <c r="G14" s="46"/>
    </row>
    <row r="15" spans="2:7" x14ac:dyDescent="0.25">
      <c r="B15" s="46"/>
      <c r="C15" s="46"/>
      <c r="D15" s="46"/>
      <c r="E15" s="46"/>
      <c r="F15" s="46"/>
      <c r="G15" s="46"/>
    </row>
  </sheetData>
  <mergeCells count="1">
    <mergeCell ref="B7:G1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L24"/>
  <sheetViews>
    <sheetView tabSelected="1" topLeftCell="A7" workbookViewId="0">
      <selection activeCell="L13" sqref="L13"/>
    </sheetView>
  </sheetViews>
  <sheetFormatPr defaultRowHeight="15" x14ac:dyDescent="0.25"/>
  <cols>
    <col min="2" max="2" width="17.5703125" bestFit="1" customWidth="1"/>
    <col min="3" max="3" width="20.7109375" bestFit="1" customWidth="1"/>
    <col min="4" max="4" width="12.7109375" bestFit="1" customWidth="1"/>
    <col min="5" max="5" width="13.85546875" bestFit="1" customWidth="1"/>
    <col min="6" max="6" width="13.5703125" bestFit="1" customWidth="1"/>
    <col min="7" max="7" width="12.5703125" bestFit="1" customWidth="1"/>
    <col min="8" max="8" width="15.140625" bestFit="1" customWidth="1"/>
    <col min="11" max="11" width="21.5703125" bestFit="1" customWidth="1"/>
  </cols>
  <sheetData>
    <row r="1" spans="3:12" ht="30.75" customHeight="1" x14ac:dyDescent="0.25">
      <c r="C1" s="39" t="s">
        <v>212</v>
      </c>
      <c r="D1" s="39"/>
      <c r="E1" s="39"/>
      <c r="F1" s="39"/>
      <c r="G1" s="39"/>
      <c r="H1" s="39"/>
    </row>
    <row r="2" spans="3:12" ht="15" customHeight="1" x14ac:dyDescent="0.25">
      <c r="C2" s="40" t="s">
        <v>213</v>
      </c>
      <c r="D2" s="40"/>
      <c r="E2" s="40"/>
      <c r="F2" s="40"/>
      <c r="G2" s="40"/>
      <c r="H2" s="40"/>
    </row>
    <row r="3" spans="3:12" x14ac:dyDescent="0.25">
      <c r="C3" s="40"/>
      <c r="D3" s="40"/>
      <c r="E3" s="40"/>
      <c r="F3" s="40"/>
      <c r="G3" s="40"/>
      <c r="H3" s="40"/>
    </row>
    <row r="4" spans="3:12" x14ac:dyDescent="0.25">
      <c r="C4" s="40"/>
      <c r="D4" s="40"/>
      <c r="E4" s="40"/>
      <c r="F4" s="40"/>
      <c r="G4" s="40"/>
      <c r="H4" s="40"/>
    </row>
    <row r="5" spans="3:12" x14ac:dyDescent="0.25">
      <c r="C5" s="40"/>
      <c r="D5" s="40"/>
      <c r="E5" s="40"/>
      <c r="F5" s="40"/>
      <c r="G5" s="40"/>
      <c r="H5" s="40"/>
    </row>
    <row r="6" spans="3:12" x14ac:dyDescent="0.25">
      <c r="C6" s="40"/>
      <c r="D6" s="40"/>
      <c r="E6" s="40"/>
      <c r="F6" s="40"/>
      <c r="G6" s="40"/>
      <c r="H6" s="40"/>
    </row>
    <row r="7" spans="3:12" x14ac:dyDescent="0.25">
      <c r="C7" s="40"/>
      <c r="D7" s="40"/>
      <c r="E7" s="40"/>
      <c r="F7" s="40"/>
      <c r="G7" s="40"/>
      <c r="H7" s="40"/>
    </row>
    <row r="9" spans="3:12" x14ac:dyDescent="0.25">
      <c r="C9" s="32"/>
      <c r="D9" s="33" t="s">
        <v>121</v>
      </c>
      <c r="E9" s="33" t="s">
        <v>122</v>
      </c>
      <c r="F9" s="33" t="s">
        <v>123</v>
      </c>
      <c r="G9" s="33" t="s">
        <v>124</v>
      </c>
      <c r="H9" s="33" t="s">
        <v>131</v>
      </c>
    </row>
    <row r="10" spans="3:12" x14ac:dyDescent="0.25">
      <c r="C10" s="33" t="s">
        <v>125</v>
      </c>
      <c r="D10" s="2">
        <v>6</v>
      </c>
      <c r="E10" s="2">
        <v>8</v>
      </c>
      <c r="F10" s="2">
        <v>10</v>
      </c>
      <c r="G10" s="2">
        <v>9</v>
      </c>
      <c r="H10" s="2">
        <v>200</v>
      </c>
    </row>
    <row r="11" spans="3:12" x14ac:dyDescent="0.25">
      <c r="C11" s="33" t="s">
        <v>126</v>
      </c>
      <c r="D11" s="2">
        <v>9</v>
      </c>
      <c r="E11" s="2">
        <v>12</v>
      </c>
      <c r="F11" s="2">
        <v>13</v>
      </c>
      <c r="G11" s="2">
        <v>7</v>
      </c>
      <c r="H11" s="2">
        <v>150</v>
      </c>
    </row>
    <row r="12" spans="3:12" ht="15.75" thickBot="1" x14ac:dyDescent="0.3">
      <c r="C12" s="33" t="s">
        <v>127</v>
      </c>
      <c r="D12" s="2">
        <v>4</v>
      </c>
      <c r="E12" s="2">
        <v>6</v>
      </c>
      <c r="F12" s="2">
        <v>8</v>
      </c>
      <c r="G12" s="2">
        <v>6</v>
      </c>
      <c r="H12" s="2">
        <v>180</v>
      </c>
    </row>
    <row r="13" spans="3:12" ht="15.75" thickBot="1" x14ac:dyDescent="0.3">
      <c r="C13" s="33" t="s">
        <v>128</v>
      </c>
      <c r="D13" s="2">
        <v>5</v>
      </c>
      <c r="E13" s="2">
        <v>10</v>
      </c>
      <c r="F13" s="2">
        <v>7</v>
      </c>
      <c r="G13" s="2">
        <v>4</v>
      </c>
      <c r="H13" s="2">
        <v>170</v>
      </c>
      <c r="K13" s="31" t="s">
        <v>130</v>
      </c>
      <c r="L13" s="2">
        <f>SUMPRODUCT(D10:G13,D20:G23)</f>
        <v>4750</v>
      </c>
    </row>
    <row r="14" spans="3:12" x14ac:dyDescent="0.25">
      <c r="C14" s="33" t="s">
        <v>129</v>
      </c>
      <c r="D14" s="2">
        <v>120</v>
      </c>
      <c r="E14" s="2">
        <v>180</v>
      </c>
      <c r="F14" s="2">
        <v>220</v>
      </c>
      <c r="G14" s="2">
        <v>180</v>
      </c>
      <c r="H14" s="2"/>
    </row>
    <row r="17" spans="3:8" ht="15.75" thickBot="1" x14ac:dyDescent="0.3"/>
    <row r="18" spans="3:8" ht="15.75" x14ac:dyDescent="0.25">
      <c r="C18" s="35" t="s">
        <v>12</v>
      </c>
    </row>
    <row r="19" spans="3:8" x14ac:dyDescent="0.25">
      <c r="C19" s="32"/>
      <c r="D19" s="34" t="s">
        <v>121</v>
      </c>
      <c r="E19" s="34" t="s">
        <v>122</v>
      </c>
      <c r="F19" s="34" t="s">
        <v>123</v>
      </c>
      <c r="G19" s="34" t="s">
        <v>124</v>
      </c>
      <c r="H19" s="34" t="s">
        <v>214</v>
      </c>
    </row>
    <row r="20" spans="3:8" x14ac:dyDescent="0.25">
      <c r="C20" s="34" t="s">
        <v>125</v>
      </c>
      <c r="D20" s="2">
        <v>120</v>
      </c>
      <c r="E20" s="2">
        <v>0</v>
      </c>
      <c r="F20" s="2">
        <v>80</v>
      </c>
      <c r="G20" s="2">
        <v>0</v>
      </c>
      <c r="H20" s="2">
        <f>SUM(D20:G20)</f>
        <v>200</v>
      </c>
    </row>
    <row r="21" spans="3:8" x14ac:dyDescent="0.25">
      <c r="C21" s="34" t="s">
        <v>126</v>
      </c>
      <c r="D21" s="2">
        <v>0</v>
      </c>
      <c r="E21" s="2">
        <v>0</v>
      </c>
      <c r="F21" s="2">
        <v>0</v>
      </c>
      <c r="G21" s="2">
        <v>150</v>
      </c>
      <c r="H21" s="2">
        <f>SUM(D21:G21)</f>
        <v>150</v>
      </c>
    </row>
    <row r="22" spans="3:8" x14ac:dyDescent="0.25">
      <c r="C22" s="34" t="s">
        <v>127</v>
      </c>
      <c r="D22" s="2">
        <v>0</v>
      </c>
      <c r="E22" s="2">
        <v>180</v>
      </c>
      <c r="F22" s="2">
        <v>0</v>
      </c>
      <c r="G22" s="2">
        <v>0</v>
      </c>
      <c r="H22" s="2">
        <f>SUM(D22:G22)</f>
        <v>180</v>
      </c>
    </row>
    <row r="23" spans="3:8" x14ac:dyDescent="0.25">
      <c r="C23" s="34" t="s">
        <v>128</v>
      </c>
      <c r="D23" s="2">
        <v>0</v>
      </c>
      <c r="E23" s="2">
        <v>0</v>
      </c>
      <c r="F23" s="2">
        <v>140</v>
      </c>
      <c r="G23" s="2">
        <v>30</v>
      </c>
      <c r="H23" s="2">
        <f>SUM(D23:G23)</f>
        <v>170</v>
      </c>
    </row>
    <row r="24" spans="3:8" x14ac:dyDescent="0.25">
      <c r="C24" s="34" t="s">
        <v>215</v>
      </c>
      <c r="D24" s="2">
        <f>SUM(D20:D23)</f>
        <v>120</v>
      </c>
      <c r="E24" s="2">
        <f t="shared" ref="E24:G24" si="0">SUM(E20:E23)</f>
        <v>180</v>
      </c>
      <c r="F24" s="2">
        <f t="shared" si="0"/>
        <v>220</v>
      </c>
      <c r="G24" s="2">
        <f t="shared" si="0"/>
        <v>180</v>
      </c>
      <c r="H24" s="2"/>
    </row>
  </sheetData>
  <mergeCells count="2">
    <mergeCell ref="C1:H1"/>
    <mergeCell ref="C2:H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showGridLines="0" topLeftCell="A28" workbookViewId="0">
      <selection activeCell="I50" sqref="I50"/>
    </sheetView>
  </sheetViews>
  <sheetFormatPr defaultRowHeight="15" x14ac:dyDescent="0.25"/>
  <cols>
    <col min="1" max="1" width="2.28515625" customWidth="1"/>
    <col min="2" max="2" width="6.28515625" bestFit="1" customWidth="1"/>
    <col min="3" max="3" width="31.28515625" bestFit="1" customWidth="1"/>
    <col min="4" max="4" width="12.7109375" bestFit="1" customWidth="1"/>
    <col min="5" max="5" width="12.42578125" bestFit="1" customWidth="1"/>
    <col min="6" max="6" width="10.42578125" bestFit="1" customWidth="1"/>
    <col min="7" max="7" width="5.28515625" bestFit="1" customWidth="1"/>
  </cols>
  <sheetData>
    <row r="1" spans="1:5" x14ac:dyDescent="0.25">
      <c r="A1" s="14" t="s">
        <v>70</v>
      </c>
    </row>
    <row r="2" spans="1:5" x14ac:dyDescent="0.25">
      <c r="A2" s="14" t="s">
        <v>132</v>
      </c>
    </row>
    <row r="3" spans="1:5" x14ac:dyDescent="0.25">
      <c r="A3" s="14" t="s">
        <v>133</v>
      </c>
    </row>
    <row r="4" spans="1:5" x14ac:dyDescent="0.25">
      <c r="A4" s="14" t="s">
        <v>72</v>
      </c>
    </row>
    <row r="5" spans="1:5" x14ac:dyDescent="0.25">
      <c r="A5" s="14" t="s">
        <v>73</v>
      </c>
    </row>
    <row r="6" spans="1:5" x14ac:dyDescent="0.25">
      <c r="A6" s="14"/>
      <c r="B6" t="s">
        <v>74</v>
      </c>
    </row>
    <row r="7" spans="1:5" x14ac:dyDescent="0.25">
      <c r="A7" s="14"/>
      <c r="B7" t="s">
        <v>134</v>
      </c>
    </row>
    <row r="8" spans="1:5" x14ac:dyDescent="0.25">
      <c r="A8" s="14"/>
      <c r="B8" t="s">
        <v>135</v>
      </c>
    </row>
    <row r="9" spans="1:5" x14ac:dyDescent="0.25">
      <c r="A9" s="14" t="s">
        <v>77</v>
      </c>
    </row>
    <row r="10" spans="1:5" x14ac:dyDescent="0.25">
      <c r="B10" t="s">
        <v>136</v>
      </c>
    </row>
    <row r="11" spans="1:5" x14ac:dyDescent="0.25">
      <c r="B11" t="s">
        <v>79</v>
      </c>
    </row>
    <row r="14" spans="1:5" ht="15.75" thickBot="1" x14ac:dyDescent="0.3">
      <c r="A14" t="s">
        <v>137</v>
      </c>
    </row>
    <row r="15" spans="1:5" ht="15.75" thickBot="1" x14ac:dyDescent="0.3">
      <c r="B15" s="25" t="s">
        <v>81</v>
      </c>
      <c r="C15" s="25" t="s">
        <v>82</v>
      </c>
      <c r="D15" s="25" t="s">
        <v>83</v>
      </c>
      <c r="E15" s="25" t="s">
        <v>84</v>
      </c>
    </row>
    <row r="16" spans="1:5" ht="15.75" thickBot="1" x14ac:dyDescent="0.3">
      <c r="B16" s="24" t="s">
        <v>138</v>
      </c>
      <c r="C16" s="24" t="s">
        <v>130</v>
      </c>
      <c r="D16" s="27">
        <v>0</v>
      </c>
      <c r="E16" s="27">
        <v>4750</v>
      </c>
    </row>
    <row r="19" spans="1:6" ht="15.75" thickBot="1" x14ac:dyDescent="0.3">
      <c r="A19" t="s">
        <v>85</v>
      </c>
    </row>
    <row r="20" spans="1:6" ht="15.75" thickBot="1" x14ac:dyDescent="0.3">
      <c r="B20" s="25" t="s">
        <v>81</v>
      </c>
      <c r="C20" s="25" t="s">
        <v>82</v>
      </c>
      <c r="D20" s="25" t="s">
        <v>83</v>
      </c>
      <c r="E20" s="25" t="s">
        <v>84</v>
      </c>
      <c r="F20" s="25" t="s">
        <v>86</v>
      </c>
    </row>
    <row r="21" spans="1:6" x14ac:dyDescent="0.25">
      <c r="B21" s="26" t="s">
        <v>139</v>
      </c>
      <c r="C21" s="26" t="s">
        <v>140</v>
      </c>
      <c r="D21" s="28">
        <v>0</v>
      </c>
      <c r="E21" s="28">
        <v>120</v>
      </c>
      <c r="F21" s="26" t="s">
        <v>95</v>
      </c>
    </row>
    <row r="22" spans="1:6" x14ac:dyDescent="0.25">
      <c r="B22" s="26" t="s">
        <v>141</v>
      </c>
      <c r="C22" s="26" t="s">
        <v>142</v>
      </c>
      <c r="D22" s="28">
        <v>0</v>
      </c>
      <c r="E22" s="28">
        <v>0</v>
      </c>
      <c r="F22" s="26" t="s">
        <v>95</v>
      </c>
    </row>
    <row r="23" spans="1:6" x14ac:dyDescent="0.25">
      <c r="B23" s="26" t="s">
        <v>143</v>
      </c>
      <c r="C23" s="26" t="s">
        <v>144</v>
      </c>
      <c r="D23" s="28">
        <v>0</v>
      </c>
      <c r="E23" s="28">
        <v>80</v>
      </c>
      <c r="F23" s="26" t="s">
        <v>95</v>
      </c>
    </row>
    <row r="24" spans="1:6" x14ac:dyDescent="0.25">
      <c r="B24" s="26" t="s">
        <v>145</v>
      </c>
      <c r="C24" s="26" t="s">
        <v>146</v>
      </c>
      <c r="D24" s="28">
        <v>0</v>
      </c>
      <c r="E24" s="28">
        <v>0</v>
      </c>
      <c r="F24" s="26" t="s">
        <v>95</v>
      </c>
    </row>
    <row r="25" spans="1:6" x14ac:dyDescent="0.25">
      <c r="B25" s="26" t="s">
        <v>147</v>
      </c>
      <c r="C25" s="26" t="s">
        <v>148</v>
      </c>
      <c r="D25" s="28">
        <v>0</v>
      </c>
      <c r="E25" s="28">
        <v>0</v>
      </c>
      <c r="F25" s="26" t="s">
        <v>95</v>
      </c>
    </row>
    <row r="26" spans="1:6" x14ac:dyDescent="0.25">
      <c r="B26" s="26" t="s">
        <v>149</v>
      </c>
      <c r="C26" s="26" t="s">
        <v>150</v>
      </c>
      <c r="D26" s="28">
        <v>0</v>
      </c>
      <c r="E26" s="28">
        <v>0</v>
      </c>
      <c r="F26" s="26" t="s">
        <v>95</v>
      </c>
    </row>
    <row r="27" spans="1:6" x14ac:dyDescent="0.25">
      <c r="B27" s="26" t="s">
        <v>151</v>
      </c>
      <c r="C27" s="26" t="s">
        <v>152</v>
      </c>
      <c r="D27" s="28">
        <v>0</v>
      </c>
      <c r="E27" s="28">
        <v>0</v>
      </c>
      <c r="F27" s="26" t="s">
        <v>95</v>
      </c>
    </row>
    <row r="28" spans="1:6" x14ac:dyDescent="0.25">
      <c r="B28" s="26" t="s">
        <v>153</v>
      </c>
      <c r="C28" s="26" t="s">
        <v>154</v>
      </c>
      <c r="D28" s="28">
        <v>0</v>
      </c>
      <c r="E28" s="28">
        <v>150</v>
      </c>
      <c r="F28" s="26" t="s">
        <v>95</v>
      </c>
    </row>
    <row r="29" spans="1:6" x14ac:dyDescent="0.25">
      <c r="B29" s="26" t="s">
        <v>155</v>
      </c>
      <c r="C29" s="26" t="s">
        <v>156</v>
      </c>
      <c r="D29" s="28">
        <v>0</v>
      </c>
      <c r="E29" s="28">
        <v>0</v>
      </c>
      <c r="F29" s="26" t="s">
        <v>95</v>
      </c>
    </row>
    <row r="30" spans="1:6" x14ac:dyDescent="0.25">
      <c r="B30" s="26" t="s">
        <v>157</v>
      </c>
      <c r="C30" s="26" t="s">
        <v>158</v>
      </c>
      <c r="D30" s="28">
        <v>0</v>
      </c>
      <c r="E30" s="28">
        <v>180</v>
      </c>
      <c r="F30" s="26" t="s">
        <v>95</v>
      </c>
    </row>
    <row r="31" spans="1:6" x14ac:dyDescent="0.25">
      <c r="B31" s="26" t="s">
        <v>159</v>
      </c>
      <c r="C31" s="26" t="s">
        <v>160</v>
      </c>
      <c r="D31" s="28">
        <v>0</v>
      </c>
      <c r="E31" s="28">
        <v>0</v>
      </c>
      <c r="F31" s="26" t="s">
        <v>95</v>
      </c>
    </row>
    <row r="32" spans="1:6" x14ac:dyDescent="0.25">
      <c r="B32" s="26" t="s">
        <v>161</v>
      </c>
      <c r="C32" s="26" t="s">
        <v>162</v>
      </c>
      <c r="D32" s="28">
        <v>0</v>
      </c>
      <c r="E32" s="28">
        <v>0</v>
      </c>
      <c r="F32" s="26" t="s">
        <v>95</v>
      </c>
    </row>
    <row r="33" spans="1:7" x14ac:dyDescent="0.25">
      <c r="B33" s="26" t="s">
        <v>163</v>
      </c>
      <c r="C33" s="26" t="s">
        <v>164</v>
      </c>
      <c r="D33" s="28">
        <v>0</v>
      </c>
      <c r="E33" s="28">
        <v>0</v>
      </c>
      <c r="F33" s="26" t="s">
        <v>95</v>
      </c>
    </row>
    <row r="34" spans="1:7" x14ac:dyDescent="0.25">
      <c r="B34" s="26" t="s">
        <v>165</v>
      </c>
      <c r="C34" s="26" t="s">
        <v>166</v>
      </c>
      <c r="D34" s="28">
        <v>0</v>
      </c>
      <c r="E34" s="28">
        <v>0</v>
      </c>
      <c r="F34" s="26" t="s">
        <v>95</v>
      </c>
    </row>
    <row r="35" spans="1:7" x14ac:dyDescent="0.25">
      <c r="B35" s="26" t="s">
        <v>167</v>
      </c>
      <c r="C35" s="26" t="s">
        <v>168</v>
      </c>
      <c r="D35" s="28">
        <v>0</v>
      </c>
      <c r="E35" s="28">
        <v>140</v>
      </c>
      <c r="F35" s="26" t="s">
        <v>95</v>
      </c>
    </row>
    <row r="36" spans="1:7" ht="15.75" thickBot="1" x14ac:dyDescent="0.3">
      <c r="B36" s="24" t="s">
        <v>169</v>
      </c>
      <c r="C36" s="24" t="s">
        <v>170</v>
      </c>
      <c r="D36" s="27">
        <v>0</v>
      </c>
      <c r="E36" s="27">
        <v>30</v>
      </c>
      <c r="F36" s="24" t="s">
        <v>95</v>
      </c>
    </row>
    <row r="39" spans="1:7" ht="15.75" thickBot="1" x14ac:dyDescent="0.3">
      <c r="A39" t="s">
        <v>87</v>
      </c>
    </row>
    <row r="40" spans="1:7" ht="15.75" thickBot="1" x14ac:dyDescent="0.3">
      <c r="B40" s="25" t="s">
        <v>81</v>
      </c>
      <c r="C40" s="25" t="s">
        <v>82</v>
      </c>
      <c r="D40" s="25" t="s">
        <v>88</v>
      </c>
      <c r="E40" s="25" t="s">
        <v>89</v>
      </c>
      <c r="F40" s="25" t="s">
        <v>90</v>
      </c>
      <c r="G40" s="25" t="s">
        <v>63</v>
      </c>
    </row>
    <row r="41" spans="1:7" x14ac:dyDescent="0.25">
      <c r="B41" s="26" t="s">
        <v>171</v>
      </c>
      <c r="C41" s="26" t="s">
        <v>172</v>
      </c>
      <c r="D41" s="28">
        <v>120</v>
      </c>
      <c r="E41" s="26" t="s">
        <v>173</v>
      </c>
      <c r="F41" s="26" t="s">
        <v>105</v>
      </c>
      <c r="G41" s="26">
        <v>0</v>
      </c>
    </row>
    <row r="42" spans="1:7" x14ac:dyDescent="0.25">
      <c r="B42" s="26" t="s">
        <v>174</v>
      </c>
      <c r="C42" s="26" t="s">
        <v>175</v>
      </c>
      <c r="D42" s="28">
        <v>180</v>
      </c>
      <c r="E42" s="26" t="s">
        <v>176</v>
      </c>
      <c r="F42" s="26" t="s">
        <v>105</v>
      </c>
      <c r="G42" s="26">
        <v>0</v>
      </c>
    </row>
    <row r="43" spans="1:7" x14ac:dyDescent="0.25">
      <c r="B43" s="26" t="s">
        <v>177</v>
      </c>
      <c r="C43" s="26" t="s">
        <v>178</v>
      </c>
      <c r="D43" s="28">
        <v>220</v>
      </c>
      <c r="E43" s="26" t="s">
        <v>179</v>
      </c>
      <c r="F43" s="26" t="s">
        <v>105</v>
      </c>
      <c r="G43" s="26">
        <v>0</v>
      </c>
    </row>
    <row r="44" spans="1:7" x14ac:dyDescent="0.25">
      <c r="B44" s="26" t="s">
        <v>180</v>
      </c>
      <c r="C44" s="26" t="s">
        <v>181</v>
      </c>
      <c r="D44" s="28">
        <v>180</v>
      </c>
      <c r="E44" s="26" t="s">
        <v>182</v>
      </c>
      <c r="F44" s="26" t="s">
        <v>105</v>
      </c>
      <c r="G44" s="26">
        <v>0</v>
      </c>
    </row>
    <row r="45" spans="1:7" x14ac:dyDescent="0.25">
      <c r="B45" s="26" t="s">
        <v>183</v>
      </c>
      <c r="C45" s="26" t="s">
        <v>184</v>
      </c>
      <c r="D45" s="28">
        <v>200</v>
      </c>
      <c r="E45" s="26" t="s">
        <v>185</v>
      </c>
      <c r="F45" s="26" t="s">
        <v>105</v>
      </c>
      <c r="G45" s="26">
        <v>0</v>
      </c>
    </row>
    <row r="46" spans="1:7" x14ac:dyDescent="0.25">
      <c r="B46" s="26" t="s">
        <v>186</v>
      </c>
      <c r="C46" s="26" t="s">
        <v>187</v>
      </c>
      <c r="D46" s="28">
        <v>150</v>
      </c>
      <c r="E46" s="26" t="s">
        <v>188</v>
      </c>
      <c r="F46" s="26" t="s">
        <v>105</v>
      </c>
      <c r="G46" s="26">
        <v>0</v>
      </c>
    </row>
    <row r="47" spans="1:7" x14ac:dyDescent="0.25">
      <c r="B47" s="26" t="s">
        <v>189</v>
      </c>
      <c r="C47" s="26" t="s">
        <v>190</v>
      </c>
      <c r="D47" s="28">
        <v>180</v>
      </c>
      <c r="E47" s="26" t="s">
        <v>191</v>
      </c>
      <c r="F47" s="26" t="s">
        <v>105</v>
      </c>
      <c r="G47" s="26">
        <v>0</v>
      </c>
    </row>
    <row r="48" spans="1:7" x14ac:dyDescent="0.25">
      <c r="B48" s="26" t="s">
        <v>192</v>
      </c>
      <c r="C48" s="26" t="s">
        <v>193</v>
      </c>
      <c r="D48" s="28">
        <v>170</v>
      </c>
      <c r="E48" s="26" t="s">
        <v>194</v>
      </c>
      <c r="F48" s="26" t="s">
        <v>105</v>
      </c>
      <c r="G48" s="26">
        <v>0</v>
      </c>
    </row>
    <row r="49" spans="2:7" x14ac:dyDescent="0.25">
      <c r="B49" s="26" t="s">
        <v>139</v>
      </c>
      <c r="C49" s="26" t="s">
        <v>140</v>
      </c>
      <c r="D49" s="28">
        <v>120</v>
      </c>
      <c r="E49" s="26" t="s">
        <v>195</v>
      </c>
      <c r="F49" s="26" t="s">
        <v>101</v>
      </c>
      <c r="G49" s="28">
        <v>120</v>
      </c>
    </row>
    <row r="50" spans="2:7" x14ac:dyDescent="0.25">
      <c r="B50" s="26" t="s">
        <v>141</v>
      </c>
      <c r="C50" s="26" t="s">
        <v>142</v>
      </c>
      <c r="D50" s="28">
        <v>0</v>
      </c>
      <c r="E50" s="26" t="s">
        <v>196</v>
      </c>
      <c r="F50" s="26" t="s">
        <v>105</v>
      </c>
      <c r="G50" s="28">
        <v>0</v>
      </c>
    </row>
    <row r="51" spans="2:7" x14ac:dyDescent="0.25">
      <c r="B51" s="26" t="s">
        <v>143</v>
      </c>
      <c r="C51" s="26" t="s">
        <v>144</v>
      </c>
      <c r="D51" s="28">
        <v>80</v>
      </c>
      <c r="E51" s="26" t="s">
        <v>197</v>
      </c>
      <c r="F51" s="26" t="s">
        <v>101</v>
      </c>
      <c r="G51" s="28">
        <v>80</v>
      </c>
    </row>
    <row r="52" spans="2:7" x14ac:dyDescent="0.25">
      <c r="B52" s="26" t="s">
        <v>145</v>
      </c>
      <c r="C52" s="26" t="s">
        <v>146</v>
      </c>
      <c r="D52" s="28">
        <v>0</v>
      </c>
      <c r="E52" s="26" t="s">
        <v>198</v>
      </c>
      <c r="F52" s="26" t="s">
        <v>105</v>
      </c>
      <c r="G52" s="28">
        <v>0</v>
      </c>
    </row>
    <row r="53" spans="2:7" x14ac:dyDescent="0.25">
      <c r="B53" s="26" t="s">
        <v>147</v>
      </c>
      <c r="C53" s="26" t="s">
        <v>148</v>
      </c>
      <c r="D53" s="28">
        <v>0</v>
      </c>
      <c r="E53" s="26" t="s">
        <v>199</v>
      </c>
      <c r="F53" s="26" t="s">
        <v>105</v>
      </c>
      <c r="G53" s="28">
        <v>0</v>
      </c>
    </row>
    <row r="54" spans="2:7" x14ac:dyDescent="0.25">
      <c r="B54" s="26" t="s">
        <v>149</v>
      </c>
      <c r="C54" s="26" t="s">
        <v>150</v>
      </c>
      <c r="D54" s="28">
        <v>0</v>
      </c>
      <c r="E54" s="26" t="s">
        <v>200</v>
      </c>
      <c r="F54" s="26" t="s">
        <v>105</v>
      </c>
      <c r="G54" s="28">
        <v>0</v>
      </c>
    </row>
    <row r="55" spans="2:7" x14ac:dyDescent="0.25">
      <c r="B55" s="26" t="s">
        <v>151</v>
      </c>
      <c r="C55" s="26" t="s">
        <v>152</v>
      </c>
      <c r="D55" s="28">
        <v>0</v>
      </c>
      <c r="E55" s="26" t="s">
        <v>201</v>
      </c>
      <c r="F55" s="26" t="s">
        <v>105</v>
      </c>
      <c r="G55" s="28">
        <v>0</v>
      </c>
    </row>
    <row r="56" spans="2:7" x14ac:dyDescent="0.25">
      <c r="B56" s="26" t="s">
        <v>153</v>
      </c>
      <c r="C56" s="26" t="s">
        <v>154</v>
      </c>
      <c r="D56" s="28">
        <v>150</v>
      </c>
      <c r="E56" s="26" t="s">
        <v>202</v>
      </c>
      <c r="F56" s="26" t="s">
        <v>101</v>
      </c>
      <c r="G56" s="28">
        <v>150</v>
      </c>
    </row>
    <row r="57" spans="2:7" x14ac:dyDescent="0.25">
      <c r="B57" s="26" t="s">
        <v>155</v>
      </c>
      <c r="C57" s="26" t="s">
        <v>156</v>
      </c>
      <c r="D57" s="28">
        <v>0</v>
      </c>
      <c r="E57" s="26" t="s">
        <v>203</v>
      </c>
      <c r="F57" s="26" t="s">
        <v>105</v>
      </c>
      <c r="G57" s="28">
        <v>0</v>
      </c>
    </row>
    <row r="58" spans="2:7" x14ac:dyDescent="0.25">
      <c r="B58" s="26" t="s">
        <v>157</v>
      </c>
      <c r="C58" s="26" t="s">
        <v>158</v>
      </c>
      <c r="D58" s="28">
        <v>180</v>
      </c>
      <c r="E58" s="26" t="s">
        <v>204</v>
      </c>
      <c r="F58" s="26" t="s">
        <v>101</v>
      </c>
      <c r="G58" s="28">
        <v>180</v>
      </c>
    </row>
    <row r="59" spans="2:7" x14ac:dyDescent="0.25">
      <c r="B59" s="26" t="s">
        <v>159</v>
      </c>
      <c r="C59" s="26" t="s">
        <v>160</v>
      </c>
      <c r="D59" s="28">
        <v>0</v>
      </c>
      <c r="E59" s="26" t="s">
        <v>205</v>
      </c>
      <c r="F59" s="26" t="s">
        <v>105</v>
      </c>
      <c r="G59" s="28">
        <v>0</v>
      </c>
    </row>
    <row r="60" spans="2:7" x14ac:dyDescent="0.25">
      <c r="B60" s="26" t="s">
        <v>161</v>
      </c>
      <c r="C60" s="26" t="s">
        <v>162</v>
      </c>
      <c r="D60" s="28">
        <v>0</v>
      </c>
      <c r="E60" s="26" t="s">
        <v>206</v>
      </c>
      <c r="F60" s="26" t="s">
        <v>105</v>
      </c>
      <c r="G60" s="28">
        <v>0</v>
      </c>
    </row>
    <row r="61" spans="2:7" x14ac:dyDescent="0.25">
      <c r="B61" s="26" t="s">
        <v>163</v>
      </c>
      <c r="C61" s="26" t="s">
        <v>164</v>
      </c>
      <c r="D61" s="28">
        <v>0</v>
      </c>
      <c r="E61" s="26" t="s">
        <v>207</v>
      </c>
      <c r="F61" s="26" t="s">
        <v>105</v>
      </c>
      <c r="G61" s="28">
        <v>0</v>
      </c>
    </row>
    <row r="62" spans="2:7" x14ac:dyDescent="0.25">
      <c r="B62" s="26" t="s">
        <v>165</v>
      </c>
      <c r="C62" s="26" t="s">
        <v>166</v>
      </c>
      <c r="D62" s="28">
        <v>0</v>
      </c>
      <c r="E62" s="26" t="s">
        <v>208</v>
      </c>
      <c r="F62" s="26" t="s">
        <v>105</v>
      </c>
      <c r="G62" s="28">
        <v>0</v>
      </c>
    </row>
    <row r="63" spans="2:7" x14ac:dyDescent="0.25">
      <c r="B63" s="26" t="s">
        <v>167</v>
      </c>
      <c r="C63" s="26" t="s">
        <v>168</v>
      </c>
      <c r="D63" s="28">
        <v>140</v>
      </c>
      <c r="E63" s="26" t="s">
        <v>209</v>
      </c>
      <c r="F63" s="26" t="s">
        <v>101</v>
      </c>
      <c r="G63" s="28">
        <v>140</v>
      </c>
    </row>
    <row r="64" spans="2:7" ht="15.75" thickBot="1" x14ac:dyDescent="0.3">
      <c r="B64" s="24" t="s">
        <v>169</v>
      </c>
      <c r="C64" s="24" t="s">
        <v>170</v>
      </c>
      <c r="D64" s="27">
        <v>30</v>
      </c>
      <c r="E64" s="24" t="s">
        <v>210</v>
      </c>
      <c r="F64" s="24" t="s">
        <v>101</v>
      </c>
      <c r="G64" s="27">
        <v>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Views>
    <sheetView showGridLines="0" workbookViewId="0">
      <selection activeCell="J18" sqref="J18"/>
    </sheetView>
  </sheetViews>
  <sheetFormatPr defaultRowHeight="15" x14ac:dyDescent="0.25"/>
  <cols>
    <col min="1" max="1" width="2.28515625" customWidth="1"/>
    <col min="2" max="2" width="6.28515625" bestFit="1" customWidth="1"/>
    <col min="3" max="3" width="31.28515625" bestFit="1" customWidth="1"/>
    <col min="4" max="4" width="5.7109375" bestFit="1" customWidth="1"/>
    <col min="5" max="5" width="8.28515625" bestFit="1" customWidth="1"/>
    <col min="6" max="6" width="10.140625" bestFit="1" customWidth="1"/>
    <col min="7" max="8" width="9.28515625" bestFit="1" customWidth="1"/>
  </cols>
  <sheetData>
    <row r="1" spans="1:8" x14ac:dyDescent="0.25">
      <c r="A1" s="14" t="s">
        <v>109</v>
      </c>
    </row>
    <row r="2" spans="1:8" x14ac:dyDescent="0.25">
      <c r="A2" s="14" t="s">
        <v>132</v>
      </c>
    </row>
    <row r="3" spans="1:8" x14ac:dyDescent="0.25">
      <c r="A3" s="14" t="s">
        <v>211</v>
      </c>
    </row>
    <row r="6" spans="1:8" ht="15.75" thickBot="1" x14ac:dyDescent="0.3">
      <c r="A6" t="s">
        <v>85</v>
      </c>
    </row>
    <row r="7" spans="1:8" x14ac:dyDescent="0.25">
      <c r="B7" s="29"/>
      <c r="C7" s="29"/>
      <c r="D7" s="29" t="s">
        <v>111</v>
      </c>
      <c r="E7" s="29" t="s">
        <v>112</v>
      </c>
      <c r="F7" s="29" t="s">
        <v>54</v>
      </c>
      <c r="G7" s="29" t="s">
        <v>115</v>
      </c>
      <c r="H7" s="29" t="s">
        <v>115</v>
      </c>
    </row>
    <row r="8" spans="1:8" ht="15.75" thickBot="1" x14ac:dyDescent="0.3">
      <c r="B8" s="30" t="s">
        <v>81</v>
      </c>
      <c r="C8" s="30" t="s">
        <v>82</v>
      </c>
      <c r="D8" s="30" t="s">
        <v>51</v>
      </c>
      <c r="E8" s="30" t="s">
        <v>113</v>
      </c>
      <c r="F8" s="30" t="s">
        <v>114</v>
      </c>
      <c r="G8" s="30" t="s">
        <v>116</v>
      </c>
      <c r="H8" s="30" t="s">
        <v>117</v>
      </c>
    </row>
    <row r="9" spans="1:8" x14ac:dyDescent="0.25">
      <c r="B9" s="26" t="s">
        <v>139</v>
      </c>
      <c r="C9" s="26" t="s">
        <v>140</v>
      </c>
      <c r="D9" s="26">
        <v>120</v>
      </c>
      <c r="E9" s="26">
        <v>0</v>
      </c>
      <c r="F9" s="26">
        <v>6</v>
      </c>
      <c r="G9" s="26">
        <v>0</v>
      </c>
      <c r="H9" s="26">
        <v>1E+30</v>
      </c>
    </row>
    <row r="10" spans="1:8" x14ac:dyDescent="0.25">
      <c r="B10" s="26" t="s">
        <v>141</v>
      </c>
      <c r="C10" s="26" t="s">
        <v>142</v>
      </c>
      <c r="D10" s="26">
        <v>0</v>
      </c>
      <c r="E10" s="26">
        <v>0</v>
      </c>
      <c r="F10" s="26">
        <v>8</v>
      </c>
      <c r="G10" s="26">
        <v>4</v>
      </c>
      <c r="H10" s="26">
        <v>0</v>
      </c>
    </row>
    <row r="11" spans="1:8" x14ac:dyDescent="0.25">
      <c r="B11" s="26" t="s">
        <v>143</v>
      </c>
      <c r="C11" s="26" t="s">
        <v>144</v>
      </c>
      <c r="D11" s="26">
        <v>80</v>
      </c>
      <c r="E11" s="26">
        <v>0</v>
      </c>
      <c r="F11" s="26">
        <v>10</v>
      </c>
      <c r="G11" s="26">
        <v>0</v>
      </c>
      <c r="H11" s="26">
        <v>2</v>
      </c>
    </row>
    <row r="12" spans="1:8" x14ac:dyDescent="0.25">
      <c r="B12" s="26" t="s">
        <v>145</v>
      </c>
      <c r="C12" s="26" t="s">
        <v>146</v>
      </c>
      <c r="D12" s="26">
        <v>0</v>
      </c>
      <c r="E12" s="26">
        <v>2</v>
      </c>
      <c r="F12" s="26">
        <v>9</v>
      </c>
      <c r="G12" s="26">
        <v>1E+30</v>
      </c>
      <c r="H12" s="26">
        <v>2</v>
      </c>
    </row>
    <row r="13" spans="1:8" x14ac:dyDescent="0.25">
      <c r="B13" s="26" t="s">
        <v>147</v>
      </c>
      <c r="C13" s="26" t="s">
        <v>148</v>
      </c>
      <c r="D13" s="26">
        <v>0</v>
      </c>
      <c r="E13" s="26">
        <v>3</v>
      </c>
      <c r="F13" s="26">
        <v>9</v>
      </c>
      <c r="G13" s="26">
        <v>1E+30</v>
      </c>
      <c r="H13" s="26">
        <v>3</v>
      </c>
    </row>
    <row r="14" spans="1:8" x14ac:dyDescent="0.25">
      <c r="B14" s="26" t="s">
        <v>149</v>
      </c>
      <c r="C14" s="26" t="s">
        <v>150</v>
      </c>
      <c r="D14" s="26">
        <v>0</v>
      </c>
      <c r="E14" s="26">
        <v>4</v>
      </c>
      <c r="F14" s="26">
        <v>12</v>
      </c>
      <c r="G14" s="26">
        <v>1E+30</v>
      </c>
      <c r="H14" s="26">
        <v>4</v>
      </c>
    </row>
    <row r="15" spans="1:8" x14ac:dyDescent="0.25">
      <c r="B15" s="26" t="s">
        <v>151</v>
      </c>
      <c r="C15" s="26" t="s">
        <v>152</v>
      </c>
      <c r="D15" s="26">
        <v>0</v>
      </c>
      <c r="E15" s="26">
        <v>3</v>
      </c>
      <c r="F15" s="26">
        <v>13</v>
      </c>
      <c r="G15" s="26">
        <v>1E+30</v>
      </c>
      <c r="H15" s="26">
        <v>3</v>
      </c>
    </row>
    <row r="16" spans="1:8" x14ac:dyDescent="0.25">
      <c r="B16" s="26" t="s">
        <v>153</v>
      </c>
      <c r="C16" s="26" t="s">
        <v>154</v>
      </c>
      <c r="D16" s="26">
        <v>150</v>
      </c>
      <c r="E16" s="26">
        <v>0</v>
      </c>
      <c r="F16" s="26">
        <v>7</v>
      </c>
      <c r="G16" s="26">
        <v>3</v>
      </c>
      <c r="H16" s="26">
        <v>1E+30</v>
      </c>
    </row>
    <row r="17" spans="1:8" x14ac:dyDescent="0.25">
      <c r="B17" s="26" t="s">
        <v>155</v>
      </c>
      <c r="C17" s="26" t="s">
        <v>156</v>
      </c>
      <c r="D17" s="26">
        <v>0</v>
      </c>
      <c r="E17" s="26">
        <v>0</v>
      </c>
      <c r="F17" s="26">
        <v>4</v>
      </c>
      <c r="G17" s="26">
        <v>1E+30</v>
      </c>
      <c r="H17" s="26">
        <v>0</v>
      </c>
    </row>
    <row r="18" spans="1:8" x14ac:dyDescent="0.25">
      <c r="B18" s="26" t="s">
        <v>157</v>
      </c>
      <c r="C18" s="26" t="s">
        <v>158</v>
      </c>
      <c r="D18" s="26">
        <v>180</v>
      </c>
      <c r="E18" s="26">
        <v>0</v>
      </c>
      <c r="F18" s="26">
        <v>6</v>
      </c>
      <c r="G18" s="26">
        <v>0</v>
      </c>
      <c r="H18" s="26">
        <v>1E+30</v>
      </c>
    </row>
    <row r="19" spans="1:8" x14ac:dyDescent="0.25">
      <c r="B19" s="26" t="s">
        <v>159</v>
      </c>
      <c r="C19" s="26" t="s">
        <v>160</v>
      </c>
      <c r="D19" s="26">
        <v>0</v>
      </c>
      <c r="E19" s="26">
        <v>0</v>
      </c>
      <c r="F19" s="26">
        <v>8</v>
      </c>
      <c r="G19" s="26">
        <v>1E+30</v>
      </c>
      <c r="H19" s="26">
        <v>0</v>
      </c>
    </row>
    <row r="20" spans="1:8" x14ac:dyDescent="0.25">
      <c r="B20" s="26" t="s">
        <v>161</v>
      </c>
      <c r="C20" s="26" t="s">
        <v>162</v>
      </c>
      <c r="D20" s="26">
        <v>0</v>
      </c>
      <c r="E20" s="26">
        <v>1</v>
      </c>
      <c r="F20" s="26">
        <v>6</v>
      </c>
      <c r="G20" s="26">
        <v>1E+30</v>
      </c>
      <c r="H20" s="26">
        <v>1</v>
      </c>
    </row>
    <row r="21" spans="1:8" x14ac:dyDescent="0.25">
      <c r="B21" s="26" t="s">
        <v>163</v>
      </c>
      <c r="C21" s="26" t="s">
        <v>164</v>
      </c>
      <c r="D21" s="26">
        <v>0</v>
      </c>
      <c r="E21" s="26">
        <v>2</v>
      </c>
      <c r="F21" s="26">
        <v>5</v>
      </c>
      <c r="G21" s="26">
        <v>1E+30</v>
      </c>
      <c r="H21" s="26">
        <v>2</v>
      </c>
    </row>
    <row r="22" spans="1:8" x14ac:dyDescent="0.25">
      <c r="B22" s="26" t="s">
        <v>165</v>
      </c>
      <c r="C22" s="26" t="s">
        <v>166</v>
      </c>
      <c r="D22" s="26">
        <v>0</v>
      </c>
      <c r="E22" s="26">
        <v>5</v>
      </c>
      <c r="F22" s="26">
        <v>10</v>
      </c>
      <c r="G22" s="26">
        <v>1E+30</v>
      </c>
      <c r="H22" s="26">
        <v>5</v>
      </c>
    </row>
    <row r="23" spans="1:8" x14ac:dyDescent="0.25">
      <c r="B23" s="26" t="s">
        <v>167</v>
      </c>
      <c r="C23" s="26" t="s">
        <v>168</v>
      </c>
      <c r="D23" s="26">
        <v>140</v>
      </c>
      <c r="E23" s="26">
        <v>0</v>
      </c>
      <c r="F23" s="26">
        <v>7</v>
      </c>
      <c r="G23" s="26">
        <v>2</v>
      </c>
      <c r="H23" s="26">
        <v>1</v>
      </c>
    </row>
    <row r="24" spans="1:8" ht="15.75" thickBot="1" x14ac:dyDescent="0.3">
      <c r="B24" s="24" t="s">
        <v>169</v>
      </c>
      <c r="C24" s="24" t="s">
        <v>170</v>
      </c>
      <c r="D24" s="24">
        <v>30</v>
      </c>
      <c r="E24" s="24">
        <v>0</v>
      </c>
      <c r="F24" s="24">
        <v>4</v>
      </c>
      <c r="G24" s="24">
        <v>1</v>
      </c>
      <c r="H24" s="24">
        <v>3</v>
      </c>
    </row>
    <row r="26" spans="1:8" ht="15.75" thickBot="1" x14ac:dyDescent="0.3">
      <c r="A26" t="s">
        <v>87</v>
      </c>
    </row>
    <row r="27" spans="1:8" x14ac:dyDescent="0.25">
      <c r="B27" s="29"/>
      <c r="C27" s="29"/>
      <c r="D27" s="29" t="s">
        <v>111</v>
      </c>
      <c r="E27" s="29" t="s">
        <v>118</v>
      </c>
      <c r="F27" s="29" t="s">
        <v>59</v>
      </c>
      <c r="G27" s="29" t="s">
        <v>115</v>
      </c>
      <c r="H27" s="29" t="s">
        <v>115</v>
      </c>
    </row>
    <row r="28" spans="1:8" ht="15.75" thickBot="1" x14ac:dyDescent="0.3">
      <c r="B28" s="30" t="s">
        <v>81</v>
      </c>
      <c r="C28" s="30" t="s">
        <v>82</v>
      </c>
      <c r="D28" s="30" t="s">
        <v>51</v>
      </c>
      <c r="E28" s="30" t="s">
        <v>119</v>
      </c>
      <c r="F28" s="30" t="s">
        <v>120</v>
      </c>
      <c r="G28" s="30" t="s">
        <v>116</v>
      </c>
      <c r="H28" s="30" t="s">
        <v>117</v>
      </c>
    </row>
    <row r="29" spans="1:8" x14ac:dyDescent="0.25">
      <c r="B29" s="26" t="s">
        <v>171</v>
      </c>
      <c r="C29" s="26" t="s">
        <v>172</v>
      </c>
      <c r="D29" s="26">
        <v>120</v>
      </c>
      <c r="E29" s="26">
        <v>4</v>
      </c>
      <c r="F29" s="26">
        <v>120</v>
      </c>
      <c r="G29" s="26">
        <v>0</v>
      </c>
      <c r="H29" s="26">
        <v>120</v>
      </c>
    </row>
    <row r="30" spans="1:8" x14ac:dyDescent="0.25">
      <c r="B30" s="26" t="s">
        <v>174</v>
      </c>
      <c r="C30" s="26" t="s">
        <v>175</v>
      </c>
      <c r="D30" s="26">
        <v>180</v>
      </c>
      <c r="E30" s="26">
        <v>6</v>
      </c>
      <c r="F30" s="26">
        <v>180</v>
      </c>
      <c r="G30" s="26">
        <v>0</v>
      </c>
      <c r="H30" s="26">
        <v>180</v>
      </c>
    </row>
    <row r="31" spans="1:8" x14ac:dyDescent="0.25">
      <c r="B31" s="26" t="s">
        <v>177</v>
      </c>
      <c r="C31" s="26" t="s">
        <v>178</v>
      </c>
      <c r="D31" s="26">
        <v>220</v>
      </c>
      <c r="E31" s="26">
        <v>8</v>
      </c>
      <c r="F31" s="26">
        <v>220</v>
      </c>
      <c r="G31" s="26">
        <v>0</v>
      </c>
      <c r="H31" s="26">
        <v>80</v>
      </c>
    </row>
    <row r="32" spans="1:8" x14ac:dyDescent="0.25">
      <c r="B32" s="26" t="s">
        <v>180</v>
      </c>
      <c r="C32" s="26" t="s">
        <v>181</v>
      </c>
      <c r="D32" s="26">
        <v>180</v>
      </c>
      <c r="E32" s="26">
        <v>5</v>
      </c>
      <c r="F32" s="26">
        <v>180</v>
      </c>
      <c r="G32" s="26">
        <v>0</v>
      </c>
      <c r="H32" s="26">
        <v>30</v>
      </c>
    </row>
    <row r="33" spans="2:8" x14ac:dyDescent="0.25">
      <c r="B33" s="26" t="s">
        <v>183</v>
      </c>
      <c r="C33" s="26" t="s">
        <v>184</v>
      </c>
      <c r="D33" s="26">
        <v>200</v>
      </c>
      <c r="E33" s="26">
        <v>2</v>
      </c>
      <c r="F33" s="26">
        <v>200</v>
      </c>
      <c r="G33" s="26">
        <v>180</v>
      </c>
      <c r="H33" s="26">
        <v>0</v>
      </c>
    </row>
    <row r="34" spans="2:8" x14ac:dyDescent="0.25">
      <c r="B34" s="26" t="s">
        <v>186</v>
      </c>
      <c r="C34" s="26" t="s">
        <v>187</v>
      </c>
      <c r="D34" s="26">
        <v>150</v>
      </c>
      <c r="E34" s="26">
        <v>2</v>
      </c>
      <c r="F34" s="26">
        <v>150</v>
      </c>
      <c r="G34" s="26">
        <v>30</v>
      </c>
      <c r="H34" s="26">
        <v>0</v>
      </c>
    </row>
    <row r="35" spans="2:8" x14ac:dyDescent="0.25">
      <c r="B35" s="26" t="s">
        <v>189</v>
      </c>
      <c r="C35" s="26" t="s">
        <v>190</v>
      </c>
      <c r="D35" s="26">
        <v>180</v>
      </c>
      <c r="E35" s="26">
        <v>0</v>
      </c>
      <c r="F35" s="26">
        <v>180</v>
      </c>
      <c r="G35" s="26">
        <v>0</v>
      </c>
      <c r="H35" s="26">
        <v>1E+30</v>
      </c>
    </row>
    <row r="36" spans="2:8" ht="15.75" thickBot="1" x14ac:dyDescent="0.3">
      <c r="B36" s="24" t="s">
        <v>192</v>
      </c>
      <c r="C36" s="24" t="s">
        <v>193</v>
      </c>
      <c r="D36" s="24">
        <v>170</v>
      </c>
      <c r="E36" s="24">
        <v>-1</v>
      </c>
      <c r="F36" s="24">
        <v>170</v>
      </c>
      <c r="G36" s="24">
        <v>80</v>
      </c>
      <c r="H36" s="2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Section A(Problem Statement)</vt:lpstr>
      <vt:lpstr>Solver Output </vt:lpstr>
      <vt:lpstr>Answer Report Solver Output</vt:lpstr>
      <vt:lpstr>Sensitivity Report Solver Outpu</vt:lpstr>
      <vt:lpstr>Solver Output(Coefficient Chang</vt:lpstr>
      <vt:lpstr>Solver (Constraint changed)</vt:lpstr>
      <vt:lpstr>Solver Explain</vt:lpstr>
      <vt:lpstr>Transportation Optimization</vt:lpstr>
      <vt:lpstr>Answer Report (T)</vt:lpstr>
      <vt:lpstr>Sensitivity Report(T)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2025-10-31T10:48:06Z</dcterms:modified>
</cp:coreProperties>
</file>